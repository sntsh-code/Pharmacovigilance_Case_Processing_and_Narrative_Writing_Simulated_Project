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Pharmacovigilance\"/>
    </mc:Choice>
  </mc:AlternateContent>
  <bookViews>
    <workbookView xWindow="0" yWindow="0" windowWidth="10956" windowHeight="2892"/>
  </bookViews>
  <sheets>
    <sheet name="ICSR_Cases" sheetId="1" r:id="rId1"/>
    <sheet name="QC_Checklist" sheetId="2" r:id="rId2"/>
  </sheets>
  <calcPr calcId="162913"/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2" i="1"/>
</calcChain>
</file>

<file path=xl/sharedStrings.xml><?xml version="1.0" encoding="utf-8"?>
<sst xmlns="http://schemas.openxmlformats.org/spreadsheetml/2006/main" count="1227" uniqueCount="320">
  <si>
    <t>Case ID</t>
  </si>
  <si>
    <t>Reporter Type</t>
  </si>
  <si>
    <t>Patient Info</t>
  </si>
  <si>
    <t>Suspect Drug</t>
  </si>
  <si>
    <t>Indication</t>
  </si>
  <si>
    <t>Adverse Event</t>
  </si>
  <si>
    <t>Seriousness</t>
  </si>
  <si>
    <t>Seriousness Criteria</t>
  </si>
  <si>
    <t>Outcome</t>
  </si>
  <si>
    <t>Country</t>
  </si>
  <si>
    <t>Event Onset Date</t>
  </si>
  <si>
    <t>Case Receipt Date</t>
  </si>
  <si>
    <t>Reason if Invalid</t>
  </si>
  <si>
    <t>ICSR-M01</t>
  </si>
  <si>
    <t>HCP</t>
  </si>
  <si>
    <t>45/M</t>
  </si>
  <si>
    <t>Diclofenac</t>
  </si>
  <si>
    <t>Pain</t>
  </si>
  <si>
    <t>Gastric bleeding</t>
  </si>
  <si>
    <t>Serious</t>
  </si>
  <si>
    <t>Hospitalisation</t>
  </si>
  <si>
    <t>Recovering</t>
  </si>
  <si>
    <t>India</t>
  </si>
  <si>
    <t>ICSR-M02</t>
  </si>
  <si>
    <t>Consumer</t>
  </si>
  <si>
    <t>32/F</t>
  </si>
  <si>
    <t>Amoxicillin</t>
  </si>
  <si>
    <t>Infection</t>
  </si>
  <si>
    <t>Skin rash</t>
  </si>
  <si>
    <t>Non-Serious</t>
  </si>
  <si>
    <t>NA</t>
  </si>
  <si>
    <t>Recovered</t>
  </si>
  <si>
    <t>ICSR-M03</t>
  </si>
  <si>
    <t>—</t>
  </si>
  <si>
    <t>Metformin</t>
  </si>
  <si>
    <t>Diabetes</t>
  </si>
  <si>
    <t>Hypoglycaemia</t>
  </si>
  <si>
    <t>ICSR-M04</t>
  </si>
  <si>
    <t>28/F</t>
  </si>
  <si>
    <t>Nausea</t>
  </si>
  <si>
    <t>ICSR-M05</t>
  </si>
  <si>
    <t>70/M</t>
  </si>
  <si>
    <t>Warfarin</t>
  </si>
  <si>
    <t>Thrombosis</t>
  </si>
  <si>
    <t>Intracranial bleed</t>
  </si>
  <si>
    <t>Death</t>
  </si>
  <si>
    <t>Fatal</t>
  </si>
  <si>
    <t>UK</t>
  </si>
  <si>
    <t>ICSR-M06</t>
  </si>
  <si>
    <t>Ibuprofen</t>
  </si>
  <si>
    <t>Fever</t>
  </si>
  <si>
    <t>Vomiting</t>
  </si>
  <si>
    <t>ICSR-M07</t>
  </si>
  <si>
    <t>55/F</t>
  </si>
  <si>
    <t>Amlodipine</t>
  </si>
  <si>
    <t>Hypertension</t>
  </si>
  <si>
    <t>Pedal oedema</t>
  </si>
  <si>
    <t>ICSR-M08</t>
  </si>
  <si>
    <t>63/M</t>
  </si>
  <si>
    <t>Insulin</t>
  </si>
  <si>
    <t>ICSR-M09</t>
  </si>
  <si>
    <t>35/F</t>
  </si>
  <si>
    <t>Paracetamol</t>
  </si>
  <si>
    <t>ICSR-M10</t>
  </si>
  <si>
    <t>50/M</t>
  </si>
  <si>
    <t>Atorvastatin</t>
  </si>
  <si>
    <t>Hyperlipidaemia</t>
  </si>
  <si>
    <t>Myalgia</t>
  </si>
  <si>
    <t>ICSR-M11</t>
  </si>
  <si>
    <t>29/F</t>
  </si>
  <si>
    <t>Azithromycin</t>
  </si>
  <si>
    <t>Diarrhoea</t>
  </si>
  <si>
    <t>ICSR-M12</t>
  </si>
  <si>
    <t>Clopidogrel</t>
  </si>
  <si>
    <t>Stroke prevention</t>
  </si>
  <si>
    <t>GI bleeding</t>
  </si>
  <si>
    <t>ICSR-M13</t>
  </si>
  <si>
    <t>42/F</t>
  </si>
  <si>
    <t>Omeprazole</t>
  </si>
  <si>
    <t>GERD</t>
  </si>
  <si>
    <t>Headache</t>
  </si>
  <si>
    <t>ICSR-M14</t>
  </si>
  <si>
    <t>75/F</t>
  </si>
  <si>
    <t>Digoxin</t>
  </si>
  <si>
    <t>Heart failure</t>
  </si>
  <si>
    <t>Arrhythmia</t>
  </si>
  <si>
    <t>Life-threatening</t>
  </si>
  <si>
    <t>ICSR-M15</t>
  </si>
  <si>
    <t>31/M</t>
  </si>
  <si>
    <t>Cetirizine</t>
  </si>
  <si>
    <t>Allergy</t>
  </si>
  <si>
    <t>Drowsiness</t>
  </si>
  <si>
    <t>ICSR-M16</t>
  </si>
  <si>
    <t>58/M</t>
  </si>
  <si>
    <t>Enalapril</t>
  </si>
  <si>
    <t>ICSR-M17</t>
  </si>
  <si>
    <t>46/F</t>
  </si>
  <si>
    <t>Glimepiride</t>
  </si>
  <si>
    <t>ICSR-M18</t>
  </si>
  <si>
    <t>64/M</t>
  </si>
  <si>
    <t>QT prolongation</t>
  </si>
  <si>
    <t>ICSR-M19</t>
  </si>
  <si>
    <t>Isotretinoin</t>
  </si>
  <si>
    <t>Acne</t>
  </si>
  <si>
    <t>Dry skin</t>
  </si>
  <si>
    <t>ICSR-M20</t>
  </si>
  <si>
    <t>71/M</t>
  </si>
  <si>
    <t>Furosemide</t>
  </si>
  <si>
    <t>Electrolyte imbalance</t>
  </si>
  <si>
    <t>ICSR-M21</t>
  </si>
  <si>
    <t>38/M</t>
  </si>
  <si>
    <t>Pantoprazole</t>
  </si>
  <si>
    <t>Dizziness</t>
  </si>
  <si>
    <t>ICSR-M22</t>
  </si>
  <si>
    <t>66/F</t>
  </si>
  <si>
    <t>Methotrexate</t>
  </si>
  <si>
    <t>RA</t>
  </si>
  <si>
    <t>Bone marrow suppression</t>
  </si>
  <si>
    <t>ICSR-M23</t>
  </si>
  <si>
    <t>27/F</t>
  </si>
  <si>
    <t>Iron sucrose</t>
  </si>
  <si>
    <t>Anaemia</t>
  </si>
  <si>
    <t>Injection site pain</t>
  </si>
  <si>
    <t>ICSR-M24</t>
  </si>
  <si>
    <t>59/M</t>
  </si>
  <si>
    <t>Aspirin</t>
  </si>
  <si>
    <t>Cardiac prevention</t>
  </si>
  <si>
    <t>GI ulcer</t>
  </si>
  <si>
    <t>ICSR-M25</t>
  </si>
  <si>
    <t>34/M</t>
  </si>
  <si>
    <t>Asthma</t>
  </si>
  <si>
    <t>Insomnia</t>
  </si>
  <si>
    <t>ICSR-M26</t>
  </si>
  <si>
    <t>73/F</t>
  </si>
  <si>
    <t>Tramadol</t>
  </si>
  <si>
    <t>Respiratory depression</t>
  </si>
  <si>
    <t>ICSR-M27</t>
  </si>
  <si>
    <t>41/F</t>
  </si>
  <si>
    <t>Levothyroxine</t>
  </si>
  <si>
    <t>Hypothyroidism</t>
  </si>
  <si>
    <t>Palpitations</t>
  </si>
  <si>
    <t>ICSR-M28</t>
  </si>
  <si>
    <t>Heparin</t>
  </si>
  <si>
    <t>Thrombocytopenia</t>
  </si>
  <si>
    <t>ICSR-M29</t>
  </si>
  <si>
    <t>26/F</t>
  </si>
  <si>
    <t>Oral contraceptive</t>
  </si>
  <si>
    <t>Contraception</t>
  </si>
  <si>
    <t>ICSR-M30</t>
  </si>
  <si>
    <t>69/M</t>
  </si>
  <si>
    <t>Vancomycin</t>
  </si>
  <si>
    <t>Nephrotoxicity</t>
  </si>
  <si>
    <t>Regulatory Due Date</t>
  </si>
  <si>
    <t>Yes</t>
  </si>
  <si>
    <t>No</t>
  </si>
  <si>
    <t>Patient Details are Missing</t>
  </si>
  <si>
    <t>Suspect Drug Details are Missing</t>
  </si>
  <si>
    <t>Adverse Event Details are Missing</t>
  </si>
  <si>
    <t>Reporter Type Details are Missing</t>
  </si>
  <si>
    <t>Case Validity (Yes/No)</t>
  </si>
  <si>
    <t>Drug-Event Plausibility</t>
  </si>
  <si>
    <t>Plausibility Justification</t>
  </si>
  <si>
    <t>Expected ADR</t>
  </si>
  <si>
    <t>Unexpected but Plausible</t>
  </si>
  <si>
    <t>Rarely reported adverse effect</t>
  </si>
  <si>
    <t>Known reported adverse effect</t>
  </si>
  <si>
    <t>Possible adverse effect</t>
  </si>
  <si>
    <t>Submmision Status</t>
  </si>
  <si>
    <t>On-Time</t>
  </si>
  <si>
    <t>Note(RDD)</t>
  </si>
  <si>
    <t>Non-expedited case – no immediate regulatory timeline</t>
  </si>
  <si>
    <t>Compliance Risk</t>
  </si>
  <si>
    <t>Non-expedited case</t>
  </si>
  <si>
    <t>No risk</t>
  </si>
  <si>
    <t>Not applicable</t>
  </si>
  <si>
    <t>Final Compliance Status</t>
  </si>
  <si>
    <t>MedDRA PT</t>
  </si>
  <si>
    <t>System Organ Class (SOC)</t>
  </si>
  <si>
    <t>Not Reported</t>
  </si>
  <si>
    <t>Gastrointestinal disorders</t>
  </si>
  <si>
    <t>Rash</t>
  </si>
  <si>
    <t>Skin and subcutaneous tissue disorders</t>
  </si>
  <si>
    <t>Metabolism and nutrition disorders</t>
  </si>
  <si>
    <t>Nervous system disorders</t>
  </si>
  <si>
    <t>Peripheral oedema</t>
  </si>
  <si>
    <t>General disorders and administration site condition</t>
  </si>
  <si>
    <t>Musculiskeletal and connective tissue disorders</t>
  </si>
  <si>
    <t>Cardiac arrhythmia</t>
  </si>
  <si>
    <t>Cardiac disorders</t>
  </si>
  <si>
    <t>Somnolence</t>
  </si>
  <si>
    <t>QT prolonged</t>
  </si>
  <si>
    <t>Blood and lymphatic system disorders</t>
  </si>
  <si>
    <t>Gastrintestinal ulcer</t>
  </si>
  <si>
    <t>Psychiatric disorders</t>
  </si>
  <si>
    <t>Respiratory disorders</t>
  </si>
  <si>
    <t>Respiratory, thoracic and mediastinal disorders</t>
  </si>
  <si>
    <t>Renal and urinary disorders</t>
  </si>
  <si>
    <t>Acute kidney injury</t>
  </si>
  <si>
    <t>Gastrointestinal hemorrhage</t>
  </si>
  <si>
    <t>Intracranial hemorrhage</t>
  </si>
  <si>
    <t>Gastrintestinal hemorrhage</t>
  </si>
  <si>
    <t>Dose</t>
  </si>
  <si>
    <t>Duration of Therapy</t>
  </si>
  <si>
    <t>Concomitant Medications</t>
  </si>
  <si>
    <t>Relevant Medical History</t>
  </si>
  <si>
    <t>50 mg twice daily</t>
  </si>
  <si>
    <t>5 days</t>
  </si>
  <si>
    <t>History of gastritis</t>
  </si>
  <si>
    <t>500 mg once daily</t>
  </si>
  <si>
    <t>3 days</t>
  </si>
  <si>
    <t>None reported</t>
  </si>
  <si>
    <t>No relevant history</t>
  </si>
  <si>
    <t>10 units subcutaneous</t>
  </si>
  <si>
    <t>2 days</t>
  </si>
  <si>
    <t>Type 2 diabetes mellitus</t>
  </si>
  <si>
    <t>400 mg twice daily</t>
  </si>
  <si>
    <t>7 days</t>
  </si>
  <si>
    <t>1 day</t>
  </si>
  <si>
    <t>8 mg once daily</t>
  </si>
  <si>
    <t>4 days</t>
  </si>
  <si>
    <t>Ondansetron</t>
  </si>
  <si>
    <t>40 mg once daily</t>
  </si>
  <si>
    <t>10 days</t>
  </si>
  <si>
    <t>Chronic kidney disease</t>
  </si>
  <si>
    <t>20 units subcutaneous</t>
  </si>
  <si>
    <t>Insulin glargine</t>
  </si>
  <si>
    <t>Diabetes mellitus</t>
  </si>
  <si>
    <t>Not reported</t>
  </si>
  <si>
    <t>500 mg twice daily</t>
  </si>
  <si>
    <t>6 days</t>
  </si>
  <si>
    <t>200 mg once daily</t>
  </si>
  <si>
    <t>14 days</t>
  </si>
  <si>
    <t>Irritable bowel syndrome</t>
  </si>
  <si>
    <t>20 mg once daily</t>
  </si>
  <si>
    <t>Peptic ulcer disease</t>
  </si>
  <si>
    <t>5 mg once daily</t>
  </si>
  <si>
    <t>Migraine</t>
  </si>
  <si>
    <t>150 mg twice daily</t>
  </si>
  <si>
    <t>8 days</t>
  </si>
  <si>
    <t>Metoprolol</t>
  </si>
  <si>
    <t>25 mg once daily</t>
  </si>
  <si>
    <t>Diazepam</t>
  </si>
  <si>
    <t>Anxiety disorder</t>
  </si>
  <si>
    <t>400 mg once daily</t>
  </si>
  <si>
    <t>QT prolongation history</t>
  </si>
  <si>
    <t>Topical application</t>
  </si>
  <si>
    <t>Eczema</t>
  </si>
  <si>
    <t>IV infusion</t>
  </si>
  <si>
    <t>Single dose</t>
  </si>
  <si>
    <t>Electrolyte solution</t>
  </si>
  <si>
    <t>10 mg once daily</t>
  </si>
  <si>
    <t>Vertigo</t>
  </si>
  <si>
    <t>100 mg once daily</t>
  </si>
  <si>
    <t>Rheumatoid arthritis</t>
  </si>
  <si>
    <t>2 mL injection</t>
  </si>
  <si>
    <t>Antacids</t>
  </si>
  <si>
    <t>Gastric ulcer</t>
  </si>
  <si>
    <t>10 mg at bedtime</t>
  </si>
  <si>
    <t>Melatonin</t>
  </si>
  <si>
    <t>5 mg IV</t>
  </si>
  <si>
    <t>Morphine</t>
  </si>
  <si>
    <t>COPD</t>
  </si>
  <si>
    <t>50 mg once daily</t>
  </si>
  <si>
    <t>250 mg once daily</t>
  </si>
  <si>
    <t>ACE inhibitors</t>
  </si>
  <si>
    <t>Action Taken with Suspect Drug</t>
  </si>
  <si>
    <t>Drug withdrawn</t>
  </si>
  <si>
    <t>Dose reduced</t>
  </si>
  <si>
    <t>Drug continued</t>
  </si>
  <si>
    <t>QC Status</t>
  </si>
  <si>
    <t>Quality checked – no discrepancies identified</t>
  </si>
  <si>
    <t>AE Consistency</t>
  </si>
  <si>
    <t>ICSR-001</t>
  </si>
  <si>
    <t>QC Passed</t>
  </si>
  <si>
    <t>Santosh Gitte</t>
  </si>
  <si>
    <t>No discrepancies identified</t>
  </si>
  <si>
    <t>ICSR-002</t>
  </si>
  <si>
    <t>ICSR-003</t>
  </si>
  <si>
    <t>ICSR-004</t>
  </si>
  <si>
    <t>ICSR-005</t>
  </si>
  <si>
    <t>ICSR-006</t>
  </si>
  <si>
    <t>ICSR-007</t>
  </si>
  <si>
    <t>ICSR-008</t>
  </si>
  <si>
    <t>ICSR-009</t>
  </si>
  <si>
    <t>ICSR-010</t>
  </si>
  <si>
    <t>ICSR-011</t>
  </si>
  <si>
    <t>ICSR-012</t>
  </si>
  <si>
    <t>ICSR-013</t>
  </si>
  <si>
    <t>ICSR-014</t>
  </si>
  <si>
    <t>ICSR-015</t>
  </si>
  <si>
    <t>ICSR-016</t>
  </si>
  <si>
    <t>ICSR-017</t>
  </si>
  <si>
    <t>ICSR-018</t>
  </si>
  <si>
    <t>ICSR-019</t>
  </si>
  <si>
    <t>ICSR-020</t>
  </si>
  <si>
    <t>ICSR-021</t>
  </si>
  <si>
    <t>ICSR-022</t>
  </si>
  <si>
    <t>ICSR-023</t>
  </si>
  <si>
    <t>ICSR-024</t>
  </si>
  <si>
    <t>ICSR-025</t>
  </si>
  <si>
    <t>ICSR-026</t>
  </si>
  <si>
    <t>ICSR-027</t>
  </si>
  <si>
    <t>ICSR-028</t>
  </si>
  <si>
    <t>ICSR-029</t>
  </si>
  <si>
    <t>ICSR-030</t>
  </si>
  <si>
    <t>Minimum Criteria</t>
  </si>
  <si>
    <t>Suspect Drug Consistency</t>
  </si>
  <si>
    <t>Seriousness Justified</t>
  </si>
  <si>
    <t>Dates Consistent</t>
  </si>
  <si>
    <t>Action Taken Consistent</t>
  </si>
  <si>
    <t>Outcome Consistent</t>
  </si>
  <si>
    <t>Missing Information Documented</t>
  </si>
  <si>
    <t xml:space="preserve">Narrative Neutral </t>
  </si>
  <si>
    <t>QC Reviewer</t>
  </si>
  <si>
    <t>QC Review Date</t>
  </si>
  <si>
    <t>QC Comments</t>
  </si>
  <si>
    <t>Narrative Available</t>
  </si>
  <si>
    <t>12 mg for 2 days</t>
  </si>
  <si>
    <t>8 mg per day</t>
  </si>
  <si>
    <t>25 mcg once 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</si>
</sst>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15" fontId="0" fillId="0" borderId="0" xfId="0" applyNumberFormat="1"/>
    <xf numFmtId="0" fontId="0" fillId="0" borderId="0" xfId="0" applyAlignment="1">
      <alignment horizontal="right"/>
    </xf>
    <xf numFmtId="15" fontId="0" fillId="0" borderId="0" xfId="0" applyNumberFormat="1" applyAlignment="1">
      <alignment horizontal="right"/>
    </xf>
    <xf numFmtId="0" fontId="0" fillId="0" borderId="0" xfId="0" applyFont="1"/>
    <xf numFmtId="0" fontId="0" fillId="0" borderId="0" xfId="0" applyFont="1" applyAlignment="1">
      <alignment horizontal="left"/>
    </xf>
    <xf numFmtId="15" fontId="0" fillId="0" borderId="0" xfId="0" applyNumberFormat="1" applyFont="1"/>
    <xf numFmtId="15" fontId="0" fillId="0" borderId="0" xfId="0" applyNumberFormat="1" applyFont="1" applyAlignment="1">
      <alignment horizontal="right"/>
    </xf>
    <xf numFmtId="15" fontId="0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1"/>
  <sheetViews>
    <sheetView tabSelected="1" topLeftCell="V13" workbookViewId="0">
      <selection activeCell="L30" sqref="L30"/>
    </sheetView>
  </sheetViews>
  <sheetFormatPr defaultRowHeight="14.4" x14ac:dyDescent="0.3"/>
  <cols>
    <col min="1" max="1" width="9" bestFit="1" customWidth="1"/>
    <col min="2" max="2" width="12.5546875" bestFit="1" customWidth="1"/>
    <col min="3" max="3" width="10.5546875" bestFit="1" customWidth="1"/>
    <col min="4" max="4" width="16.21875" bestFit="1" customWidth="1"/>
    <col min="5" max="5" width="16.44140625" bestFit="1" customWidth="1"/>
    <col min="6" max="6" width="22.44140625" bestFit="1" customWidth="1"/>
    <col min="7" max="7" width="25.6640625" bestFit="1" customWidth="1"/>
    <col min="8" max="8" width="43.21875" bestFit="1" customWidth="1"/>
    <col min="9" max="9" width="11" bestFit="1" customWidth="1"/>
    <col min="10" max="10" width="17" bestFit="1" customWidth="1"/>
    <col min="11" max="11" width="7.44140625" bestFit="1" customWidth="1"/>
    <col min="12" max="12" width="19.21875" style="6" bestFit="1" customWidth="1"/>
    <col min="13" max="13" width="17.5546875" style="6" bestFit="1" customWidth="1"/>
    <col min="14" max="14" width="22.33203125" style="6" bestFit="1" customWidth="1"/>
    <col min="15" max="15" width="21.6640625" style="6" bestFit="1" customWidth="1"/>
    <col min="16" max="16" width="26.88671875" style="6" bestFit="1" customWidth="1"/>
    <col min="17" max="17" width="10" bestFit="1" customWidth="1"/>
    <col min="18" max="18" width="15.21875" bestFit="1" customWidth="1"/>
    <col min="19" max="19" width="15.88671875" bestFit="1" customWidth="1"/>
    <col min="20" max="20" width="18" style="3" bestFit="1" customWidth="1"/>
    <col min="21" max="21" width="47.109375" bestFit="1" customWidth="1"/>
    <col min="22" max="22" width="17.44140625" bestFit="1" customWidth="1"/>
    <col min="23" max="23" width="14.33203125" bestFit="1" customWidth="1"/>
    <col min="24" max="24" width="19.109375" bestFit="1" customWidth="1"/>
    <col min="25" max="25" width="28.5546875" bestFit="1" customWidth="1"/>
    <col min="26" max="26" width="21.77734375" bestFit="1" customWidth="1"/>
    <col min="27" max="27" width="26.6640625" bestFit="1" customWidth="1"/>
    <col min="28" max="28" width="38.109375" bestFit="1" customWidth="1"/>
    <col min="29" max="29" width="20.441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176</v>
      </c>
      <c r="H1" t="s">
        <v>177</v>
      </c>
      <c r="I1" t="s">
        <v>6</v>
      </c>
      <c r="J1" t="s">
        <v>7</v>
      </c>
      <c r="K1" t="s">
        <v>9</v>
      </c>
      <c r="L1" s="6" t="s">
        <v>201</v>
      </c>
      <c r="M1" s="6" t="s">
        <v>202</v>
      </c>
      <c r="N1" s="6" t="s">
        <v>203</v>
      </c>
      <c r="O1" s="6" t="s">
        <v>204</v>
      </c>
      <c r="P1" s="6" t="s">
        <v>265</v>
      </c>
      <c r="Q1" t="s">
        <v>8</v>
      </c>
      <c r="R1" t="s">
        <v>10</v>
      </c>
      <c r="S1" t="s">
        <v>11</v>
      </c>
      <c r="T1" s="3" t="s">
        <v>152</v>
      </c>
      <c r="U1" t="s">
        <v>169</v>
      </c>
      <c r="V1" t="s">
        <v>167</v>
      </c>
      <c r="W1" t="s">
        <v>171</v>
      </c>
      <c r="X1" t="s">
        <v>159</v>
      </c>
      <c r="Y1" t="s">
        <v>12</v>
      </c>
      <c r="Z1" t="s">
        <v>160</v>
      </c>
      <c r="AA1" t="s">
        <v>161</v>
      </c>
      <c r="AB1" t="s">
        <v>269</v>
      </c>
      <c r="AC1" t="s">
        <v>175</v>
      </c>
    </row>
    <row r="2" spans="1:29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198</v>
      </c>
      <c r="H2" t="s">
        <v>179</v>
      </c>
      <c r="I2" t="s">
        <v>19</v>
      </c>
      <c r="J2" t="s">
        <v>20</v>
      </c>
      <c r="K2" t="s">
        <v>22</v>
      </c>
      <c r="L2" s="6" t="s">
        <v>205</v>
      </c>
      <c r="M2" s="6" t="s">
        <v>206</v>
      </c>
      <c r="N2" s="6" t="s">
        <v>111</v>
      </c>
      <c r="O2" s="6" t="s">
        <v>207</v>
      </c>
      <c r="P2" s="6" t="s">
        <v>266</v>
      </c>
      <c r="Q2" t="s">
        <v>21</v>
      </c>
      <c r="R2" s="2">
        <v>45658</v>
      </c>
      <c r="S2" s="2">
        <v>45660</v>
      </c>
      <c r="T2" s="4">
        <v>45674</v>
      </c>
      <c r="U2" t="s">
        <v>30</v>
      </c>
      <c r="V2" t="s">
        <v>168</v>
      </c>
      <c r="W2" t="s">
        <v>173</v>
      </c>
      <c r="X2" t="s">
        <v>153</v>
      </c>
      <c r="Y2" t="s">
        <v>30</v>
      </c>
      <c r="Z2" t="s">
        <v>162</v>
      </c>
      <c r="AA2" t="s">
        <v>165</v>
      </c>
      <c r="AB2" t="s">
        <v>270</v>
      </c>
      <c r="AC2" t="str">
        <f t="shared" ref="AC2:AC31" si="0">IF(M2="Non-Expedited","Not Applicable",
 IF(V2="On-Time","Compliant","Compliance Risk"))</f>
        <v>Compliant</v>
      </c>
    </row>
    <row r="3" spans="1:29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180</v>
      </c>
      <c r="H3" t="s">
        <v>181</v>
      </c>
      <c r="I3" t="s">
        <v>29</v>
      </c>
      <c r="J3" t="s">
        <v>30</v>
      </c>
      <c r="K3" t="s">
        <v>22</v>
      </c>
      <c r="L3" s="6" t="s">
        <v>208</v>
      </c>
      <c r="M3" s="6" t="s">
        <v>209</v>
      </c>
      <c r="N3" s="6" t="s">
        <v>210</v>
      </c>
      <c r="O3" s="6" t="s">
        <v>211</v>
      </c>
      <c r="P3" s="6" t="s">
        <v>267</v>
      </c>
      <c r="Q3" t="s">
        <v>31</v>
      </c>
      <c r="R3" s="2">
        <v>45662</v>
      </c>
      <c r="S3" s="2">
        <v>45664</v>
      </c>
      <c r="T3" s="3" t="s">
        <v>30</v>
      </c>
      <c r="U3" s="1" t="s">
        <v>170</v>
      </c>
      <c r="V3" t="s">
        <v>172</v>
      </c>
      <c r="W3" t="s">
        <v>174</v>
      </c>
      <c r="X3" t="s">
        <v>153</v>
      </c>
      <c r="Y3" t="s">
        <v>30</v>
      </c>
      <c r="Z3" t="s">
        <v>162</v>
      </c>
      <c r="AA3" t="s">
        <v>165</v>
      </c>
      <c r="AB3" t="s">
        <v>270</v>
      </c>
      <c r="AC3" t="str">
        <f t="shared" si="0"/>
        <v>Compliance Risk</v>
      </c>
    </row>
    <row r="4" spans="1:29" x14ac:dyDescent="0.3">
      <c r="A4" t="s">
        <v>32</v>
      </c>
      <c r="B4" t="s">
        <v>14</v>
      </c>
      <c r="C4" t="s">
        <v>33</v>
      </c>
      <c r="D4" t="s">
        <v>34</v>
      </c>
      <c r="E4" t="s">
        <v>35</v>
      </c>
      <c r="F4" t="s">
        <v>36</v>
      </c>
      <c r="G4" t="s">
        <v>36</v>
      </c>
      <c r="H4" t="s">
        <v>182</v>
      </c>
      <c r="I4" t="s">
        <v>19</v>
      </c>
      <c r="J4" t="s">
        <v>20</v>
      </c>
      <c r="K4" t="s">
        <v>22</v>
      </c>
      <c r="L4" s="6" t="s">
        <v>212</v>
      </c>
      <c r="M4" s="6" t="s">
        <v>213</v>
      </c>
      <c r="N4" s="6" t="s">
        <v>34</v>
      </c>
      <c r="O4" s="6" t="s">
        <v>214</v>
      </c>
      <c r="P4" s="6" t="s">
        <v>266</v>
      </c>
      <c r="Q4" t="s">
        <v>21</v>
      </c>
      <c r="R4" s="2">
        <v>45665</v>
      </c>
      <c r="S4" s="2">
        <v>45666</v>
      </c>
      <c r="T4" s="4">
        <v>45673</v>
      </c>
      <c r="U4" s="1" t="s">
        <v>30</v>
      </c>
      <c r="V4" t="s">
        <v>168</v>
      </c>
      <c r="W4" t="s">
        <v>173</v>
      </c>
      <c r="X4" t="s">
        <v>154</v>
      </c>
      <c r="Y4" t="s">
        <v>155</v>
      </c>
      <c r="Z4" t="s">
        <v>163</v>
      </c>
      <c r="AA4" t="s">
        <v>164</v>
      </c>
      <c r="AB4" t="s">
        <v>270</v>
      </c>
      <c r="AC4" t="str">
        <f t="shared" si="0"/>
        <v>Compliant</v>
      </c>
    </row>
    <row r="5" spans="1:29" x14ac:dyDescent="0.3">
      <c r="A5" t="s">
        <v>37</v>
      </c>
      <c r="B5" t="s">
        <v>24</v>
      </c>
      <c r="C5" t="s">
        <v>38</v>
      </c>
      <c r="D5" t="s">
        <v>33</v>
      </c>
      <c r="E5" t="s">
        <v>17</v>
      </c>
      <c r="F5" t="s">
        <v>39</v>
      </c>
      <c r="G5" t="s">
        <v>39</v>
      </c>
      <c r="H5" t="s">
        <v>179</v>
      </c>
      <c r="I5" t="s">
        <v>29</v>
      </c>
      <c r="J5" t="s">
        <v>30</v>
      </c>
      <c r="K5" t="s">
        <v>22</v>
      </c>
      <c r="L5" s="6" t="s">
        <v>215</v>
      </c>
      <c r="M5" s="6" t="s">
        <v>216</v>
      </c>
      <c r="N5" s="6" t="s">
        <v>62</v>
      </c>
      <c r="O5" s="6" t="s">
        <v>211</v>
      </c>
      <c r="P5" s="6" t="s">
        <v>268</v>
      </c>
      <c r="Q5" t="s">
        <v>31</v>
      </c>
      <c r="R5" s="2">
        <v>45667</v>
      </c>
      <c r="S5" s="2">
        <v>45669</v>
      </c>
      <c r="T5" s="3" t="s">
        <v>30</v>
      </c>
      <c r="U5" t="s">
        <v>170</v>
      </c>
      <c r="V5" t="s">
        <v>172</v>
      </c>
      <c r="W5" t="s">
        <v>174</v>
      </c>
      <c r="X5" t="s">
        <v>154</v>
      </c>
      <c r="Y5" t="s">
        <v>156</v>
      </c>
      <c r="Z5" t="s">
        <v>30</v>
      </c>
      <c r="AA5" t="s">
        <v>30</v>
      </c>
      <c r="AB5" t="s">
        <v>270</v>
      </c>
      <c r="AC5" t="str">
        <f t="shared" si="0"/>
        <v>Compliance Risk</v>
      </c>
    </row>
    <row r="6" spans="1:29" s="5" customFormat="1" x14ac:dyDescent="0.3">
      <c r="A6" s="5" t="s">
        <v>40</v>
      </c>
      <c r="B6" s="5" t="s">
        <v>14</v>
      </c>
      <c r="C6" s="5" t="s">
        <v>41</v>
      </c>
      <c r="D6" s="5" t="s">
        <v>42</v>
      </c>
      <c r="E6" s="5" t="s">
        <v>43</v>
      </c>
      <c r="F6" s="5" t="s">
        <v>44</v>
      </c>
      <c r="G6" s="5" t="s">
        <v>199</v>
      </c>
      <c r="H6" s="5" t="s">
        <v>183</v>
      </c>
      <c r="I6" s="5" t="s">
        <v>19</v>
      </c>
      <c r="J6" s="5" t="s">
        <v>45</v>
      </c>
      <c r="K6" s="5" t="s">
        <v>47</v>
      </c>
      <c r="L6" s="6" t="s">
        <v>318</v>
      </c>
      <c r="M6" s="6" t="s">
        <v>217</v>
      </c>
      <c r="N6" s="6" t="s">
        <v>125</v>
      </c>
      <c r="O6" s="6" t="s">
        <v>55</v>
      </c>
      <c r="P6" s="6" t="s">
        <v>266</v>
      </c>
      <c r="Q6" s="5" t="s">
        <v>46</v>
      </c>
      <c r="R6" s="7">
        <v>45668</v>
      </c>
      <c r="S6" s="7">
        <v>45669</v>
      </c>
      <c r="T6" s="8">
        <v>45676</v>
      </c>
      <c r="U6" s="5" t="s">
        <v>30</v>
      </c>
      <c r="V6" s="5" t="s">
        <v>168</v>
      </c>
      <c r="W6" s="5" t="s">
        <v>173</v>
      </c>
      <c r="X6" s="5" t="s">
        <v>153</v>
      </c>
      <c r="Y6" s="5" t="s">
        <v>30</v>
      </c>
      <c r="Z6" s="5" t="s">
        <v>162</v>
      </c>
      <c r="AA6" s="5" t="s">
        <v>165</v>
      </c>
      <c r="AB6" t="s">
        <v>270</v>
      </c>
      <c r="AC6" s="5" t="str">
        <f t="shared" si="0"/>
        <v>Compliant</v>
      </c>
    </row>
    <row r="7" spans="1:29" x14ac:dyDescent="0.3">
      <c r="A7" t="s">
        <v>48</v>
      </c>
      <c r="B7" t="s">
        <v>24</v>
      </c>
      <c r="C7" t="s">
        <v>33</v>
      </c>
      <c r="D7" t="s">
        <v>49</v>
      </c>
      <c r="E7" t="s">
        <v>50</v>
      </c>
      <c r="F7" t="s">
        <v>51</v>
      </c>
      <c r="G7" t="s">
        <v>51</v>
      </c>
      <c r="H7" t="s">
        <v>179</v>
      </c>
      <c r="I7" t="s">
        <v>29</v>
      </c>
      <c r="J7" t="s">
        <v>30</v>
      </c>
      <c r="K7" t="s">
        <v>22</v>
      </c>
      <c r="L7" s="6" t="s">
        <v>218</v>
      </c>
      <c r="M7" s="6" t="s">
        <v>219</v>
      </c>
      <c r="N7" s="6" t="s">
        <v>220</v>
      </c>
      <c r="O7" s="6" t="s">
        <v>211</v>
      </c>
      <c r="P7" s="6" t="s">
        <v>268</v>
      </c>
      <c r="Q7" t="s">
        <v>31</v>
      </c>
      <c r="R7" s="2">
        <v>45670</v>
      </c>
      <c r="S7" s="2">
        <v>45671</v>
      </c>
      <c r="T7" s="3" t="s">
        <v>30</v>
      </c>
      <c r="U7" t="s">
        <v>170</v>
      </c>
      <c r="V7" t="s">
        <v>172</v>
      </c>
      <c r="W7" t="s">
        <v>174</v>
      </c>
      <c r="X7" t="s">
        <v>154</v>
      </c>
      <c r="Y7" t="s">
        <v>155</v>
      </c>
      <c r="Z7" t="s">
        <v>162</v>
      </c>
      <c r="AA7" t="s">
        <v>165</v>
      </c>
      <c r="AB7" t="s">
        <v>270</v>
      </c>
      <c r="AC7" t="str">
        <f t="shared" si="0"/>
        <v>Compliance Risk</v>
      </c>
    </row>
    <row r="8" spans="1:29" x14ac:dyDescent="0.3">
      <c r="A8" t="s">
        <v>52</v>
      </c>
      <c r="B8" t="s">
        <v>14</v>
      </c>
      <c r="C8" t="s">
        <v>53</v>
      </c>
      <c r="D8" t="s">
        <v>54</v>
      </c>
      <c r="E8" t="s">
        <v>55</v>
      </c>
      <c r="F8" t="s">
        <v>56</v>
      </c>
      <c r="G8" t="s">
        <v>184</v>
      </c>
      <c r="H8" t="s">
        <v>185</v>
      </c>
      <c r="I8" t="s">
        <v>29</v>
      </c>
      <c r="J8" t="s">
        <v>30</v>
      </c>
      <c r="K8" t="s">
        <v>22</v>
      </c>
      <c r="L8" s="6" t="s">
        <v>221</v>
      </c>
      <c r="M8" s="6" t="s">
        <v>222</v>
      </c>
      <c r="N8" s="6" t="s">
        <v>54</v>
      </c>
      <c r="O8" s="6" t="s">
        <v>223</v>
      </c>
      <c r="P8" s="6" t="s">
        <v>266</v>
      </c>
      <c r="Q8" t="s">
        <v>21</v>
      </c>
      <c r="R8" s="2">
        <v>45672</v>
      </c>
      <c r="S8" s="2">
        <v>45674</v>
      </c>
      <c r="T8" s="4" t="s">
        <v>30</v>
      </c>
      <c r="U8" t="s">
        <v>170</v>
      </c>
      <c r="V8" t="s">
        <v>172</v>
      </c>
      <c r="W8" t="s">
        <v>174</v>
      </c>
      <c r="X8" t="s">
        <v>153</v>
      </c>
      <c r="Y8" t="s">
        <v>30</v>
      </c>
      <c r="Z8" t="s">
        <v>162</v>
      </c>
      <c r="AA8" t="s">
        <v>165</v>
      </c>
      <c r="AB8" t="s">
        <v>270</v>
      </c>
      <c r="AC8" t="str">
        <f t="shared" si="0"/>
        <v>Compliance Risk</v>
      </c>
    </row>
    <row r="9" spans="1:29" x14ac:dyDescent="0.3">
      <c r="A9" t="s">
        <v>57</v>
      </c>
      <c r="B9" t="s">
        <v>33</v>
      </c>
      <c r="C9" t="s">
        <v>58</v>
      </c>
      <c r="D9" t="s">
        <v>59</v>
      </c>
      <c r="E9" t="s">
        <v>35</v>
      </c>
      <c r="F9" t="s">
        <v>36</v>
      </c>
      <c r="G9" t="s">
        <v>36</v>
      </c>
      <c r="H9" t="s">
        <v>182</v>
      </c>
      <c r="I9" t="s">
        <v>19</v>
      </c>
      <c r="J9" t="s">
        <v>20</v>
      </c>
      <c r="K9" t="s">
        <v>22</v>
      </c>
      <c r="L9" s="6" t="s">
        <v>224</v>
      </c>
      <c r="M9" s="6" t="s">
        <v>217</v>
      </c>
      <c r="N9" s="6" t="s">
        <v>225</v>
      </c>
      <c r="O9" s="6" t="s">
        <v>226</v>
      </c>
      <c r="P9" s="6" t="s">
        <v>266</v>
      </c>
      <c r="Q9" t="s">
        <v>31</v>
      </c>
      <c r="R9" s="2">
        <v>45675</v>
      </c>
      <c r="S9" s="2">
        <v>45676</v>
      </c>
      <c r="T9" s="4">
        <v>45682</v>
      </c>
      <c r="U9" t="s">
        <v>30</v>
      </c>
      <c r="V9" t="s">
        <v>168</v>
      </c>
      <c r="W9" t="s">
        <v>173</v>
      </c>
      <c r="X9" t="s">
        <v>154</v>
      </c>
      <c r="Y9" t="s">
        <v>158</v>
      </c>
      <c r="Z9" t="s">
        <v>162</v>
      </c>
      <c r="AA9" t="s">
        <v>165</v>
      </c>
      <c r="AB9" t="s">
        <v>270</v>
      </c>
      <c r="AC9" t="str">
        <f t="shared" si="0"/>
        <v>Compliant</v>
      </c>
    </row>
    <row r="10" spans="1:29" x14ac:dyDescent="0.3">
      <c r="A10" t="s">
        <v>60</v>
      </c>
      <c r="B10" t="s">
        <v>24</v>
      </c>
      <c r="C10" t="s">
        <v>61</v>
      </c>
      <c r="D10" t="s">
        <v>62</v>
      </c>
      <c r="E10" t="s">
        <v>50</v>
      </c>
      <c r="F10" t="s">
        <v>33</v>
      </c>
      <c r="G10" t="s">
        <v>178</v>
      </c>
      <c r="H10" t="s">
        <v>174</v>
      </c>
      <c r="I10" t="s">
        <v>19</v>
      </c>
      <c r="J10" t="s">
        <v>20</v>
      </c>
      <c r="K10" t="s">
        <v>22</v>
      </c>
      <c r="L10" s="6" t="s">
        <v>227</v>
      </c>
      <c r="M10" s="6" t="s">
        <v>227</v>
      </c>
      <c r="N10" s="6" t="s">
        <v>227</v>
      </c>
      <c r="O10" s="6" t="s">
        <v>227</v>
      </c>
      <c r="P10" s="6" t="s">
        <v>227</v>
      </c>
      <c r="Q10" t="s">
        <v>21</v>
      </c>
      <c r="R10" s="2">
        <v>45677</v>
      </c>
      <c r="S10" s="2">
        <v>45679</v>
      </c>
      <c r="T10" s="4">
        <v>45693</v>
      </c>
      <c r="U10" t="s">
        <v>30</v>
      </c>
      <c r="V10" t="s">
        <v>168</v>
      </c>
      <c r="W10" t="s">
        <v>173</v>
      </c>
      <c r="X10" t="s">
        <v>154</v>
      </c>
      <c r="Y10" t="s">
        <v>157</v>
      </c>
      <c r="Z10" t="s">
        <v>30</v>
      </c>
      <c r="AA10" t="s">
        <v>30</v>
      </c>
      <c r="AB10" t="s">
        <v>270</v>
      </c>
      <c r="AC10" t="str">
        <f t="shared" si="0"/>
        <v>Compliant</v>
      </c>
    </row>
    <row r="11" spans="1:29" x14ac:dyDescent="0.3">
      <c r="A11" t="s">
        <v>63</v>
      </c>
      <c r="B11" t="s">
        <v>14</v>
      </c>
      <c r="C11" t="s">
        <v>64</v>
      </c>
      <c r="D11" t="s">
        <v>65</v>
      </c>
      <c r="E11" t="s">
        <v>66</v>
      </c>
      <c r="F11" t="s">
        <v>67</v>
      </c>
      <c r="G11" t="s">
        <v>67</v>
      </c>
      <c r="H11" t="s">
        <v>186</v>
      </c>
      <c r="I11" t="s">
        <v>29</v>
      </c>
      <c r="J11" t="s">
        <v>30</v>
      </c>
      <c r="K11" t="s">
        <v>22</v>
      </c>
      <c r="L11" s="6" t="s">
        <v>228</v>
      </c>
      <c r="M11" s="6" t="s">
        <v>229</v>
      </c>
      <c r="N11" s="6" t="s">
        <v>49</v>
      </c>
      <c r="O11" s="6" t="s">
        <v>211</v>
      </c>
      <c r="P11" s="6" t="s">
        <v>267</v>
      </c>
      <c r="Q11" t="s">
        <v>21</v>
      </c>
      <c r="R11" s="2">
        <v>45678</v>
      </c>
      <c r="S11" s="2">
        <v>45680</v>
      </c>
      <c r="T11" s="4" t="s">
        <v>30</v>
      </c>
      <c r="U11" t="s">
        <v>170</v>
      </c>
      <c r="V11" t="s">
        <v>172</v>
      </c>
      <c r="W11" t="s">
        <v>174</v>
      </c>
      <c r="X11" t="s">
        <v>153</v>
      </c>
      <c r="Y11" t="s">
        <v>30</v>
      </c>
      <c r="Z11" t="s">
        <v>162</v>
      </c>
      <c r="AA11" t="s">
        <v>165</v>
      </c>
      <c r="AB11" t="s">
        <v>270</v>
      </c>
      <c r="AC11" t="str">
        <f t="shared" si="0"/>
        <v>Compliance Risk</v>
      </c>
    </row>
    <row r="12" spans="1:29" x14ac:dyDescent="0.3">
      <c r="A12" t="s">
        <v>68</v>
      </c>
      <c r="B12" t="s">
        <v>24</v>
      </c>
      <c r="C12" t="s">
        <v>69</v>
      </c>
      <c r="D12" t="s">
        <v>70</v>
      </c>
      <c r="E12" t="s">
        <v>27</v>
      </c>
      <c r="F12" t="s">
        <v>71</v>
      </c>
      <c r="G12" t="s">
        <v>71</v>
      </c>
      <c r="H12" t="s">
        <v>179</v>
      </c>
      <c r="I12" t="s">
        <v>29</v>
      </c>
      <c r="J12" t="s">
        <v>30</v>
      </c>
      <c r="K12" t="s">
        <v>22</v>
      </c>
      <c r="L12" s="6" t="s">
        <v>230</v>
      </c>
      <c r="M12" s="6" t="s">
        <v>231</v>
      </c>
      <c r="N12" s="6" t="s">
        <v>210</v>
      </c>
      <c r="O12" s="6" t="s">
        <v>232</v>
      </c>
      <c r="P12" s="6" t="s">
        <v>268</v>
      </c>
      <c r="Q12" t="s">
        <v>31</v>
      </c>
      <c r="R12" s="2">
        <v>45680</v>
      </c>
      <c r="S12" s="2">
        <v>45681</v>
      </c>
      <c r="T12" s="4" t="s">
        <v>30</v>
      </c>
      <c r="U12" t="s">
        <v>170</v>
      </c>
      <c r="V12" t="s">
        <v>172</v>
      </c>
      <c r="W12" t="s">
        <v>174</v>
      </c>
      <c r="X12" t="s">
        <v>153</v>
      </c>
      <c r="Y12" t="s">
        <v>30</v>
      </c>
      <c r="Z12" t="s">
        <v>162</v>
      </c>
      <c r="AA12" t="s">
        <v>165</v>
      </c>
      <c r="AB12" t="s">
        <v>270</v>
      </c>
      <c r="AC12" t="str">
        <f t="shared" si="0"/>
        <v>Compliance Risk</v>
      </c>
    </row>
    <row r="13" spans="1:29" x14ac:dyDescent="0.3">
      <c r="A13" t="s">
        <v>72</v>
      </c>
      <c r="B13" t="s">
        <v>14</v>
      </c>
      <c r="C13" t="s">
        <v>33</v>
      </c>
      <c r="D13" t="s">
        <v>73</v>
      </c>
      <c r="E13" t="s">
        <v>74</v>
      </c>
      <c r="F13" t="s">
        <v>75</v>
      </c>
      <c r="G13" t="s">
        <v>200</v>
      </c>
      <c r="H13" t="s">
        <v>179</v>
      </c>
      <c r="I13" t="s">
        <v>19</v>
      </c>
      <c r="J13" t="s">
        <v>20</v>
      </c>
      <c r="K13" t="s">
        <v>22</v>
      </c>
      <c r="L13" s="6" t="s">
        <v>233</v>
      </c>
      <c r="M13" s="6" t="s">
        <v>209</v>
      </c>
      <c r="N13" s="6" t="s">
        <v>78</v>
      </c>
      <c r="O13" s="6" t="s">
        <v>234</v>
      </c>
      <c r="P13" s="6" t="s">
        <v>266</v>
      </c>
      <c r="Q13" t="s">
        <v>21</v>
      </c>
      <c r="R13" s="2">
        <v>45682</v>
      </c>
      <c r="S13" s="2">
        <v>45683</v>
      </c>
      <c r="T13" s="4">
        <v>45697</v>
      </c>
      <c r="U13" t="s">
        <v>30</v>
      </c>
      <c r="V13" t="s">
        <v>168</v>
      </c>
      <c r="W13" t="s">
        <v>173</v>
      </c>
      <c r="X13" t="s">
        <v>154</v>
      </c>
      <c r="Y13" t="s">
        <v>155</v>
      </c>
      <c r="Z13" t="s">
        <v>162</v>
      </c>
      <c r="AA13" t="s">
        <v>165</v>
      </c>
      <c r="AB13" t="s">
        <v>270</v>
      </c>
      <c r="AC13" t="str">
        <f t="shared" si="0"/>
        <v>Compliant</v>
      </c>
    </row>
    <row r="14" spans="1:29" x14ac:dyDescent="0.3">
      <c r="A14" t="s">
        <v>76</v>
      </c>
      <c r="B14" t="s">
        <v>24</v>
      </c>
      <c r="C14" t="s">
        <v>77</v>
      </c>
      <c r="D14" t="s">
        <v>78</v>
      </c>
      <c r="E14" t="s">
        <v>79</v>
      </c>
      <c r="F14" t="s">
        <v>80</v>
      </c>
      <c r="G14" t="s">
        <v>80</v>
      </c>
      <c r="H14" t="s">
        <v>183</v>
      </c>
      <c r="I14" t="s">
        <v>29</v>
      </c>
      <c r="J14" t="s">
        <v>30</v>
      </c>
      <c r="K14" t="s">
        <v>22</v>
      </c>
      <c r="L14" s="6" t="s">
        <v>235</v>
      </c>
      <c r="M14" s="6" t="s">
        <v>213</v>
      </c>
      <c r="N14" s="6" t="s">
        <v>210</v>
      </c>
      <c r="O14" s="6" t="s">
        <v>236</v>
      </c>
      <c r="P14" s="6" t="s">
        <v>268</v>
      </c>
      <c r="Q14" t="s">
        <v>31</v>
      </c>
      <c r="R14" s="2">
        <v>45683</v>
      </c>
      <c r="S14" s="2">
        <v>45685</v>
      </c>
      <c r="T14" s="4" t="s">
        <v>30</v>
      </c>
      <c r="U14" t="s">
        <v>170</v>
      </c>
      <c r="V14" t="s">
        <v>172</v>
      </c>
      <c r="W14" t="s">
        <v>174</v>
      </c>
      <c r="X14" t="s">
        <v>153</v>
      </c>
      <c r="Y14" t="s">
        <v>30</v>
      </c>
      <c r="Z14" t="s">
        <v>162</v>
      </c>
      <c r="AA14" t="s">
        <v>165</v>
      </c>
      <c r="AB14" t="s">
        <v>270</v>
      </c>
      <c r="AC14" t="str">
        <f t="shared" si="0"/>
        <v>Compliance Risk</v>
      </c>
    </row>
    <row r="15" spans="1:29" x14ac:dyDescent="0.3">
      <c r="A15" t="s">
        <v>81</v>
      </c>
      <c r="B15" t="s">
        <v>14</v>
      </c>
      <c r="C15" t="s">
        <v>82</v>
      </c>
      <c r="D15" t="s">
        <v>83</v>
      </c>
      <c r="E15" t="s">
        <v>84</v>
      </c>
      <c r="F15" t="s">
        <v>85</v>
      </c>
      <c r="G15" t="s">
        <v>187</v>
      </c>
      <c r="H15" t="s">
        <v>188</v>
      </c>
      <c r="I15" t="s">
        <v>19</v>
      </c>
      <c r="J15" t="s">
        <v>86</v>
      </c>
      <c r="K15" t="s">
        <v>22</v>
      </c>
      <c r="L15" s="6" t="s">
        <v>237</v>
      </c>
      <c r="M15" s="6" t="s">
        <v>238</v>
      </c>
      <c r="N15" s="6" t="s">
        <v>239</v>
      </c>
      <c r="O15" s="6" t="s">
        <v>85</v>
      </c>
      <c r="P15" s="6" t="s">
        <v>266</v>
      </c>
      <c r="Q15" t="s">
        <v>21</v>
      </c>
      <c r="R15" s="2">
        <v>45684</v>
      </c>
      <c r="S15" s="2">
        <v>45685</v>
      </c>
      <c r="T15" s="4">
        <v>45692</v>
      </c>
      <c r="U15" t="s">
        <v>30</v>
      </c>
      <c r="V15" t="s">
        <v>168</v>
      </c>
      <c r="W15" t="s">
        <v>173</v>
      </c>
      <c r="X15" t="s">
        <v>153</v>
      </c>
      <c r="Y15" t="s">
        <v>30</v>
      </c>
      <c r="Z15" t="s">
        <v>162</v>
      </c>
      <c r="AA15" t="s">
        <v>165</v>
      </c>
      <c r="AB15" t="s">
        <v>270</v>
      </c>
      <c r="AC15" t="str">
        <f t="shared" si="0"/>
        <v>Compliant</v>
      </c>
    </row>
    <row r="16" spans="1:29" x14ac:dyDescent="0.3">
      <c r="A16" t="s">
        <v>87</v>
      </c>
      <c r="B16" t="s">
        <v>24</v>
      </c>
      <c r="C16" t="s">
        <v>88</v>
      </c>
      <c r="D16" t="s">
        <v>89</v>
      </c>
      <c r="E16" t="s">
        <v>90</v>
      </c>
      <c r="F16" t="s">
        <v>91</v>
      </c>
      <c r="G16" t="s">
        <v>189</v>
      </c>
      <c r="H16" t="s">
        <v>183</v>
      </c>
      <c r="I16" t="s">
        <v>29</v>
      </c>
      <c r="J16" t="s">
        <v>30</v>
      </c>
      <c r="K16" t="s">
        <v>22</v>
      </c>
      <c r="L16" s="6" t="s">
        <v>240</v>
      </c>
      <c r="M16" s="6" t="s">
        <v>217</v>
      </c>
      <c r="N16" s="6" t="s">
        <v>241</v>
      </c>
      <c r="O16" s="6" t="s">
        <v>242</v>
      </c>
      <c r="P16" s="6" t="s">
        <v>266</v>
      </c>
      <c r="Q16" t="s">
        <v>31</v>
      </c>
      <c r="R16" s="2">
        <v>45686</v>
      </c>
      <c r="S16" s="2">
        <v>45687</v>
      </c>
      <c r="T16" s="4" t="s">
        <v>30</v>
      </c>
      <c r="U16" t="s">
        <v>170</v>
      </c>
      <c r="V16" t="s">
        <v>172</v>
      </c>
      <c r="W16" t="s">
        <v>174</v>
      </c>
      <c r="X16" t="s">
        <v>153</v>
      </c>
      <c r="Y16" t="s">
        <v>30</v>
      </c>
      <c r="Z16" t="s">
        <v>163</v>
      </c>
      <c r="AA16" t="s">
        <v>164</v>
      </c>
      <c r="AB16" t="s">
        <v>270</v>
      </c>
      <c r="AC16" t="str">
        <f t="shared" si="0"/>
        <v>Compliance Risk</v>
      </c>
    </row>
    <row r="17" spans="1:29" x14ac:dyDescent="0.3">
      <c r="A17" t="s">
        <v>92</v>
      </c>
      <c r="B17" t="s">
        <v>14</v>
      </c>
      <c r="C17" t="s">
        <v>93</v>
      </c>
      <c r="D17" t="s">
        <v>94</v>
      </c>
      <c r="E17" t="s">
        <v>55</v>
      </c>
      <c r="F17" t="s">
        <v>33</v>
      </c>
      <c r="G17" t="s">
        <v>178</v>
      </c>
      <c r="H17" t="s">
        <v>174</v>
      </c>
      <c r="I17">
        <v>1</v>
      </c>
      <c r="J17" t="s">
        <v>20</v>
      </c>
      <c r="K17" t="s">
        <v>22</v>
      </c>
      <c r="L17" s="6" t="s">
        <v>227</v>
      </c>
      <c r="M17" s="6" t="s">
        <v>227</v>
      </c>
      <c r="N17" s="6" t="s">
        <v>227</v>
      </c>
      <c r="O17" s="6" t="s">
        <v>227</v>
      </c>
      <c r="P17" s="6" t="s">
        <v>227</v>
      </c>
      <c r="Q17" t="s">
        <v>31</v>
      </c>
      <c r="R17" s="2">
        <v>45687</v>
      </c>
      <c r="S17" s="2">
        <v>45688</v>
      </c>
      <c r="T17" s="4">
        <v>45702</v>
      </c>
      <c r="U17" t="s">
        <v>30</v>
      </c>
      <c r="V17" t="s">
        <v>168</v>
      </c>
      <c r="W17" t="s">
        <v>173</v>
      </c>
      <c r="X17" t="s">
        <v>154</v>
      </c>
      <c r="Y17" t="s">
        <v>157</v>
      </c>
      <c r="Z17" t="s">
        <v>30</v>
      </c>
      <c r="AA17" t="s">
        <v>30</v>
      </c>
      <c r="AB17" t="s">
        <v>270</v>
      </c>
      <c r="AC17" t="str">
        <f t="shared" si="0"/>
        <v>Compliant</v>
      </c>
    </row>
    <row r="18" spans="1:29" s="5" customFormat="1" x14ac:dyDescent="0.3">
      <c r="A18" s="5" t="s">
        <v>95</v>
      </c>
      <c r="B18" s="5" t="s">
        <v>24</v>
      </c>
      <c r="C18" s="5" t="s">
        <v>96</v>
      </c>
      <c r="D18" s="5" t="s">
        <v>97</v>
      </c>
      <c r="E18" s="5" t="s">
        <v>35</v>
      </c>
      <c r="F18" s="5" t="s">
        <v>36</v>
      </c>
      <c r="G18" s="5" t="s">
        <v>36</v>
      </c>
      <c r="H18" s="5" t="s">
        <v>182</v>
      </c>
      <c r="I18" s="5" t="s">
        <v>19</v>
      </c>
      <c r="J18" s="5" t="s">
        <v>20</v>
      </c>
      <c r="K18" s="5" t="s">
        <v>22</v>
      </c>
      <c r="L18" s="6" t="s">
        <v>317</v>
      </c>
      <c r="M18" s="6" t="s">
        <v>213</v>
      </c>
      <c r="N18" s="6" t="s">
        <v>34</v>
      </c>
      <c r="O18" s="6" t="s">
        <v>226</v>
      </c>
      <c r="P18" s="6" t="s">
        <v>266</v>
      </c>
      <c r="Q18" s="5" t="s">
        <v>21</v>
      </c>
      <c r="R18" s="7">
        <v>45689</v>
      </c>
      <c r="S18" s="7">
        <v>45690</v>
      </c>
      <c r="T18" s="8">
        <v>45704</v>
      </c>
      <c r="U18" s="5" t="s">
        <v>30</v>
      </c>
      <c r="V18" s="5" t="s">
        <v>168</v>
      </c>
      <c r="W18" s="5" t="s">
        <v>173</v>
      </c>
      <c r="X18" s="5" t="s">
        <v>153</v>
      </c>
      <c r="Y18" s="5" t="s">
        <v>30</v>
      </c>
      <c r="Z18" s="5" t="s">
        <v>162</v>
      </c>
      <c r="AA18" s="5" t="s">
        <v>165</v>
      </c>
      <c r="AB18" t="s">
        <v>270</v>
      </c>
      <c r="AC18" s="5" t="str">
        <f t="shared" si="0"/>
        <v>Compliant</v>
      </c>
    </row>
    <row r="19" spans="1:29" x14ac:dyDescent="0.3">
      <c r="A19" t="s">
        <v>98</v>
      </c>
      <c r="B19" t="s">
        <v>14</v>
      </c>
      <c r="C19" t="s">
        <v>99</v>
      </c>
      <c r="D19" t="s">
        <v>33</v>
      </c>
      <c r="E19" t="s">
        <v>27</v>
      </c>
      <c r="F19" t="s">
        <v>100</v>
      </c>
      <c r="G19" t="s">
        <v>190</v>
      </c>
      <c r="H19" t="s">
        <v>188</v>
      </c>
      <c r="I19" t="s">
        <v>19</v>
      </c>
      <c r="J19" t="s">
        <v>86</v>
      </c>
      <c r="K19" t="s">
        <v>22</v>
      </c>
      <c r="L19" s="6" t="s">
        <v>243</v>
      </c>
      <c r="M19" s="6" t="s">
        <v>206</v>
      </c>
      <c r="N19" s="6" t="s">
        <v>70</v>
      </c>
      <c r="O19" s="6" t="s">
        <v>244</v>
      </c>
      <c r="P19" s="6" t="s">
        <v>266</v>
      </c>
      <c r="Q19" t="s">
        <v>21</v>
      </c>
      <c r="R19" s="2">
        <v>45690</v>
      </c>
      <c r="S19" s="2">
        <v>45691</v>
      </c>
      <c r="T19" s="4">
        <v>45705</v>
      </c>
      <c r="U19" t="s">
        <v>30</v>
      </c>
      <c r="V19" t="s">
        <v>168</v>
      </c>
      <c r="W19" t="s">
        <v>173</v>
      </c>
      <c r="X19" t="s">
        <v>154</v>
      </c>
      <c r="Y19" t="s">
        <v>156</v>
      </c>
      <c r="Z19" t="s">
        <v>30</v>
      </c>
      <c r="AA19" t="s">
        <v>30</v>
      </c>
      <c r="AB19" t="s">
        <v>270</v>
      </c>
      <c r="AC19" t="str">
        <f t="shared" si="0"/>
        <v>Compliant</v>
      </c>
    </row>
    <row r="20" spans="1:29" x14ac:dyDescent="0.3">
      <c r="A20" t="s">
        <v>101</v>
      </c>
      <c r="B20" t="s">
        <v>24</v>
      </c>
      <c r="C20" t="s">
        <v>33</v>
      </c>
      <c r="D20" t="s">
        <v>102</v>
      </c>
      <c r="E20" t="s">
        <v>103</v>
      </c>
      <c r="F20" t="s">
        <v>104</v>
      </c>
      <c r="G20" t="s">
        <v>104</v>
      </c>
      <c r="H20" t="s">
        <v>181</v>
      </c>
      <c r="I20" t="s">
        <v>29</v>
      </c>
      <c r="J20" t="s">
        <v>30</v>
      </c>
      <c r="K20" t="s">
        <v>22</v>
      </c>
      <c r="L20" s="6" t="s">
        <v>245</v>
      </c>
      <c r="M20" s="6" t="s">
        <v>216</v>
      </c>
      <c r="N20" s="6" t="s">
        <v>210</v>
      </c>
      <c r="O20" s="6" t="s">
        <v>246</v>
      </c>
      <c r="P20" s="6" t="s">
        <v>268</v>
      </c>
      <c r="Q20" t="s">
        <v>21</v>
      </c>
      <c r="R20" s="2">
        <v>45692</v>
      </c>
      <c r="S20" s="2">
        <v>45693</v>
      </c>
      <c r="T20" s="4" t="s">
        <v>30</v>
      </c>
      <c r="U20" t="s">
        <v>170</v>
      </c>
      <c r="V20" t="s">
        <v>172</v>
      </c>
      <c r="W20" t="s">
        <v>174</v>
      </c>
      <c r="X20" t="s">
        <v>154</v>
      </c>
      <c r="Y20" t="s">
        <v>155</v>
      </c>
      <c r="Z20" t="s">
        <v>162</v>
      </c>
      <c r="AA20" t="s">
        <v>165</v>
      </c>
      <c r="AB20" t="s">
        <v>270</v>
      </c>
      <c r="AC20" t="str">
        <f t="shared" si="0"/>
        <v>Compliance Risk</v>
      </c>
    </row>
    <row r="21" spans="1:29" x14ac:dyDescent="0.3">
      <c r="A21" t="s">
        <v>105</v>
      </c>
      <c r="B21" t="s">
        <v>14</v>
      </c>
      <c r="C21" t="s">
        <v>106</v>
      </c>
      <c r="D21" t="s">
        <v>107</v>
      </c>
      <c r="E21" t="s">
        <v>84</v>
      </c>
      <c r="F21" t="s">
        <v>108</v>
      </c>
      <c r="G21" t="s">
        <v>108</v>
      </c>
      <c r="H21" t="s">
        <v>182</v>
      </c>
      <c r="I21" t="s">
        <v>19</v>
      </c>
      <c r="J21" t="s">
        <v>20</v>
      </c>
      <c r="K21" t="s">
        <v>22</v>
      </c>
      <c r="L21" s="6" t="s">
        <v>247</v>
      </c>
      <c r="M21" s="6" t="s">
        <v>248</v>
      </c>
      <c r="N21" s="6" t="s">
        <v>249</v>
      </c>
      <c r="O21" s="6" t="s">
        <v>108</v>
      </c>
      <c r="P21" s="6" t="s">
        <v>266</v>
      </c>
      <c r="Q21" t="s">
        <v>21</v>
      </c>
      <c r="R21" s="2">
        <v>45693</v>
      </c>
      <c r="S21" s="2">
        <v>45694</v>
      </c>
      <c r="T21" s="4">
        <v>45708</v>
      </c>
      <c r="U21" t="s">
        <v>30</v>
      </c>
      <c r="V21" t="s">
        <v>168</v>
      </c>
      <c r="W21" t="s">
        <v>173</v>
      </c>
      <c r="X21" t="s">
        <v>153</v>
      </c>
      <c r="Y21" t="s">
        <v>30</v>
      </c>
      <c r="Z21" t="s">
        <v>162</v>
      </c>
      <c r="AA21" t="s">
        <v>165</v>
      </c>
      <c r="AB21" t="s">
        <v>270</v>
      </c>
      <c r="AC21" t="str">
        <f t="shared" si="0"/>
        <v>Compliant</v>
      </c>
    </row>
    <row r="22" spans="1:29" x14ac:dyDescent="0.3">
      <c r="A22" t="s">
        <v>109</v>
      </c>
      <c r="B22" t="s">
        <v>24</v>
      </c>
      <c r="C22" t="s">
        <v>110</v>
      </c>
      <c r="D22" t="s">
        <v>111</v>
      </c>
      <c r="E22" t="s">
        <v>79</v>
      </c>
      <c r="F22" t="s">
        <v>112</v>
      </c>
      <c r="G22" t="s">
        <v>112</v>
      </c>
      <c r="H22" t="s">
        <v>183</v>
      </c>
      <c r="I22" t="s">
        <v>29</v>
      </c>
      <c r="J22" t="s">
        <v>30</v>
      </c>
      <c r="K22" t="s">
        <v>22</v>
      </c>
      <c r="L22" s="6" t="s">
        <v>250</v>
      </c>
      <c r="M22" s="6" t="s">
        <v>219</v>
      </c>
      <c r="N22" s="6" t="s">
        <v>210</v>
      </c>
      <c r="O22" s="6" t="s">
        <v>251</v>
      </c>
      <c r="P22" s="6" t="s">
        <v>268</v>
      </c>
      <c r="Q22" t="s">
        <v>31</v>
      </c>
      <c r="R22" s="2">
        <v>45695</v>
      </c>
      <c r="S22" s="2">
        <v>45696</v>
      </c>
      <c r="T22" s="4" t="s">
        <v>30</v>
      </c>
      <c r="U22" t="s">
        <v>170</v>
      </c>
      <c r="V22" t="s">
        <v>172</v>
      </c>
      <c r="W22" t="s">
        <v>174</v>
      </c>
      <c r="X22" t="s">
        <v>153</v>
      </c>
      <c r="Y22" t="s">
        <v>30</v>
      </c>
      <c r="Z22" t="s">
        <v>162</v>
      </c>
      <c r="AA22" t="s">
        <v>165</v>
      </c>
      <c r="AB22" t="s">
        <v>270</v>
      </c>
      <c r="AC22" t="str">
        <f t="shared" si="0"/>
        <v>Compliance Risk</v>
      </c>
    </row>
    <row r="23" spans="1:29" x14ac:dyDescent="0.3">
      <c r="A23" t="s">
        <v>113</v>
      </c>
      <c r="B23" t="s">
        <v>14</v>
      </c>
      <c r="C23" t="s">
        <v>114</v>
      </c>
      <c r="D23" t="s">
        <v>115</v>
      </c>
      <c r="E23" t="s">
        <v>116</v>
      </c>
      <c r="F23" t="s">
        <v>117</v>
      </c>
      <c r="G23" t="s">
        <v>117</v>
      </c>
      <c r="H23" t="s">
        <v>191</v>
      </c>
      <c r="I23" t="s">
        <v>19</v>
      </c>
      <c r="J23" t="s">
        <v>86</v>
      </c>
      <c r="K23" t="s">
        <v>22</v>
      </c>
      <c r="L23" s="6" t="s">
        <v>252</v>
      </c>
      <c r="M23" s="6" t="s">
        <v>222</v>
      </c>
      <c r="N23" s="6" t="s">
        <v>115</v>
      </c>
      <c r="O23" s="6" t="s">
        <v>253</v>
      </c>
      <c r="P23" s="6" t="s">
        <v>266</v>
      </c>
      <c r="Q23" t="s">
        <v>21</v>
      </c>
      <c r="R23" s="2">
        <v>45696</v>
      </c>
      <c r="S23" s="2">
        <v>45697</v>
      </c>
      <c r="T23" s="4">
        <v>45704</v>
      </c>
      <c r="U23" t="s">
        <v>30</v>
      </c>
      <c r="V23" t="s">
        <v>168</v>
      </c>
      <c r="W23" t="s">
        <v>173</v>
      </c>
      <c r="X23" t="s">
        <v>153</v>
      </c>
      <c r="Y23" t="s">
        <v>30</v>
      </c>
      <c r="Z23" t="s">
        <v>162</v>
      </c>
      <c r="AA23" t="s">
        <v>165</v>
      </c>
      <c r="AB23" t="s">
        <v>270</v>
      </c>
      <c r="AC23" t="str">
        <f t="shared" si="0"/>
        <v>Compliant</v>
      </c>
    </row>
    <row r="24" spans="1:29" x14ac:dyDescent="0.3">
      <c r="A24" t="s">
        <v>118</v>
      </c>
      <c r="B24" t="s">
        <v>24</v>
      </c>
      <c r="C24" t="s">
        <v>119</v>
      </c>
      <c r="D24" t="s">
        <v>120</v>
      </c>
      <c r="E24" t="s">
        <v>121</v>
      </c>
      <c r="F24" t="s">
        <v>122</v>
      </c>
      <c r="G24" t="s">
        <v>122</v>
      </c>
      <c r="H24" t="s">
        <v>185</v>
      </c>
      <c r="I24" t="s">
        <v>29</v>
      </c>
      <c r="J24" t="s">
        <v>30</v>
      </c>
      <c r="K24" t="s">
        <v>22</v>
      </c>
      <c r="L24" s="6" t="s">
        <v>254</v>
      </c>
      <c r="M24" s="6" t="s">
        <v>248</v>
      </c>
      <c r="N24" s="6" t="s">
        <v>210</v>
      </c>
      <c r="O24" s="6" t="s">
        <v>211</v>
      </c>
      <c r="P24" s="6" t="s">
        <v>268</v>
      </c>
      <c r="Q24" t="s">
        <v>31</v>
      </c>
      <c r="R24" s="2">
        <v>45698</v>
      </c>
      <c r="S24" s="2">
        <v>45699</v>
      </c>
      <c r="T24" s="4" t="s">
        <v>30</v>
      </c>
      <c r="U24" t="s">
        <v>170</v>
      </c>
      <c r="V24" t="s">
        <v>172</v>
      </c>
      <c r="W24" t="s">
        <v>174</v>
      </c>
      <c r="X24" t="s">
        <v>153</v>
      </c>
      <c r="Y24" t="s">
        <v>30</v>
      </c>
      <c r="Z24" t="s">
        <v>162</v>
      </c>
      <c r="AA24" t="s">
        <v>165</v>
      </c>
      <c r="AB24" t="s">
        <v>270</v>
      </c>
      <c r="AC24" t="str">
        <f t="shared" si="0"/>
        <v>Compliance Risk</v>
      </c>
    </row>
    <row r="25" spans="1:29" x14ac:dyDescent="0.3">
      <c r="A25" t="s">
        <v>123</v>
      </c>
      <c r="B25" t="s">
        <v>33</v>
      </c>
      <c r="C25" t="s">
        <v>124</v>
      </c>
      <c r="D25" t="s">
        <v>125</v>
      </c>
      <c r="E25" t="s">
        <v>126</v>
      </c>
      <c r="F25" t="s">
        <v>127</v>
      </c>
      <c r="G25" t="s">
        <v>192</v>
      </c>
      <c r="H25" t="s">
        <v>179</v>
      </c>
      <c r="I25" t="s">
        <v>19</v>
      </c>
      <c r="J25" t="s">
        <v>20</v>
      </c>
      <c r="K25" t="s">
        <v>22</v>
      </c>
      <c r="L25" s="6" t="s">
        <v>221</v>
      </c>
      <c r="M25" s="6" t="s">
        <v>231</v>
      </c>
      <c r="N25" s="6" t="s">
        <v>255</v>
      </c>
      <c r="O25" s="6" t="s">
        <v>256</v>
      </c>
      <c r="P25" s="6" t="s">
        <v>266</v>
      </c>
      <c r="Q25" t="s">
        <v>21</v>
      </c>
      <c r="R25" s="2">
        <v>45699</v>
      </c>
      <c r="S25" s="2">
        <v>45700</v>
      </c>
      <c r="T25" s="4">
        <v>45714</v>
      </c>
      <c r="U25" t="s">
        <v>30</v>
      </c>
      <c r="V25" t="s">
        <v>168</v>
      </c>
      <c r="W25" t="s">
        <v>173</v>
      </c>
      <c r="X25" t="s">
        <v>154</v>
      </c>
      <c r="Y25" t="s">
        <v>158</v>
      </c>
      <c r="Z25" t="s">
        <v>162</v>
      </c>
      <c r="AA25" t="s">
        <v>165</v>
      </c>
      <c r="AB25" t="s">
        <v>270</v>
      </c>
      <c r="AC25" t="str">
        <f t="shared" si="0"/>
        <v>Compliant</v>
      </c>
    </row>
    <row r="26" spans="1:29" x14ac:dyDescent="0.3">
      <c r="A26" t="s">
        <v>128</v>
      </c>
      <c r="B26" t="s">
        <v>24</v>
      </c>
      <c r="C26" t="s">
        <v>129</v>
      </c>
      <c r="D26" t="s">
        <v>115</v>
      </c>
      <c r="E26" t="s">
        <v>130</v>
      </c>
      <c r="F26" t="s">
        <v>131</v>
      </c>
      <c r="G26" t="s">
        <v>131</v>
      </c>
      <c r="H26" t="s">
        <v>193</v>
      </c>
      <c r="I26" t="s">
        <v>29</v>
      </c>
      <c r="J26" t="s">
        <v>30</v>
      </c>
      <c r="K26" t="s">
        <v>22</v>
      </c>
      <c r="L26" s="6" t="s">
        <v>257</v>
      </c>
      <c r="M26" s="6" t="s">
        <v>206</v>
      </c>
      <c r="N26" s="6" t="s">
        <v>258</v>
      </c>
      <c r="O26" s="6" t="s">
        <v>131</v>
      </c>
      <c r="P26" s="6" t="s">
        <v>268</v>
      </c>
      <c r="Q26" t="s">
        <v>21</v>
      </c>
      <c r="R26" s="2">
        <v>45700</v>
      </c>
      <c r="S26" s="2">
        <v>45701</v>
      </c>
      <c r="T26" s="4" t="s">
        <v>30</v>
      </c>
      <c r="U26" t="s">
        <v>170</v>
      </c>
      <c r="V26" t="s">
        <v>172</v>
      </c>
      <c r="W26" t="s">
        <v>174</v>
      </c>
      <c r="X26" t="s">
        <v>153</v>
      </c>
      <c r="Y26" t="s">
        <v>30</v>
      </c>
      <c r="Z26" t="s">
        <v>163</v>
      </c>
      <c r="AA26" t="s">
        <v>166</v>
      </c>
      <c r="AB26" t="s">
        <v>270</v>
      </c>
      <c r="AC26" t="str">
        <f t="shared" si="0"/>
        <v>Compliance Risk</v>
      </c>
    </row>
    <row r="27" spans="1:29" x14ac:dyDescent="0.3">
      <c r="A27" t="s">
        <v>132</v>
      </c>
      <c r="B27" t="s">
        <v>14</v>
      </c>
      <c r="C27" t="s">
        <v>133</v>
      </c>
      <c r="D27" t="s">
        <v>134</v>
      </c>
      <c r="E27" t="s">
        <v>17</v>
      </c>
      <c r="F27" t="s">
        <v>135</v>
      </c>
      <c r="G27" t="s">
        <v>194</v>
      </c>
      <c r="H27" t="s">
        <v>195</v>
      </c>
      <c r="I27" t="s">
        <v>19</v>
      </c>
      <c r="J27" t="s">
        <v>86</v>
      </c>
      <c r="K27" t="s">
        <v>22</v>
      </c>
      <c r="L27" s="6" t="s">
        <v>259</v>
      </c>
      <c r="M27" s="6" t="s">
        <v>248</v>
      </c>
      <c r="N27" s="6" t="s">
        <v>260</v>
      </c>
      <c r="O27" s="6" t="s">
        <v>261</v>
      </c>
      <c r="P27" s="6" t="s">
        <v>266</v>
      </c>
      <c r="Q27" t="s">
        <v>21</v>
      </c>
      <c r="R27" s="2">
        <v>45701</v>
      </c>
      <c r="S27" s="2">
        <v>45702</v>
      </c>
      <c r="T27" s="4">
        <v>45709</v>
      </c>
      <c r="U27" t="s">
        <v>30</v>
      </c>
      <c r="V27" t="s">
        <v>168</v>
      </c>
      <c r="W27" t="s">
        <v>173</v>
      </c>
      <c r="X27" t="s">
        <v>153</v>
      </c>
      <c r="Y27" t="s">
        <v>30</v>
      </c>
      <c r="Z27" t="s">
        <v>162</v>
      </c>
      <c r="AA27" t="s">
        <v>165</v>
      </c>
      <c r="AB27" t="s">
        <v>270</v>
      </c>
      <c r="AC27" t="str">
        <f t="shared" si="0"/>
        <v>Compliant</v>
      </c>
    </row>
    <row r="28" spans="1:29" s="5" customFormat="1" x14ac:dyDescent="0.3">
      <c r="A28" s="5" t="s">
        <v>136</v>
      </c>
      <c r="B28" s="5" t="s">
        <v>24</v>
      </c>
      <c r="C28" s="5" t="s">
        <v>137</v>
      </c>
      <c r="D28" s="5" t="s">
        <v>138</v>
      </c>
      <c r="E28" s="5" t="s">
        <v>139</v>
      </c>
      <c r="F28" s="5" t="s">
        <v>140</v>
      </c>
      <c r="G28" s="5" t="s">
        <v>140</v>
      </c>
      <c r="H28" s="5" t="s">
        <v>188</v>
      </c>
      <c r="I28" s="5" t="s">
        <v>29</v>
      </c>
      <c r="J28" s="5" t="s">
        <v>30</v>
      </c>
      <c r="K28" s="5" t="s">
        <v>22</v>
      </c>
      <c r="L28" s="6" t="s">
        <v>319</v>
      </c>
      <c r="M28" s="6" t="s">
        <v>209</v>
      </c>
      <c r="N28" s="6" t="s">
        <v>210</v>
      </c>
      <c r="O28" s="6" t="s">
        <v>140</v>
      </c>
      <c r="P28" s="6" t="s">
        <v>267</v>
      </c>
      <c r="Q28" s="5" t="s">
        <v>21</v>
      </c>
      <c r="R28" s="7">
        <v>45703</v>
      </c>
      <c r="S28" s="7">
        <v>45704</v>
      </c>
      <c r="T28" s="8" t="s">
        <v>30</v>
      </c>
      <c r="U28" s="5" t="s">
        <v>170</v>
      </c>
      <c r="V28" s="5" t="s">
        <v>172</v>
      </c>
      <c r="W28" s="5" t="s">
        <v>174</v>
      </c>
      <c r="X28" s="5" t="s">
        <v>153</v>
      </c>
      <c r="Y28" s="5" t="s">
        <v>30</v>
      </c>
      <c r="Z28" s="5" t="s">
        <v>162</v>
      </c>
      <c r="AA28" s="5" t="s">
        <v>165</v>
      </c>
      <c r="AB28" t="s">
        <v>270</v>
      </c>
      <c r="AC28" s="5" t="str">
        <f t="shared" si="0"/>
        <v>Compliance Risk</v>
      </c>
    </row>
    <row r="29" spans="1:29" x14ac:dyDescent="0.3">
      <c r="A29" t="s">
        <v>141</v>
      </c>
      <c r="B29" t="s">
        <v>14</v>
      </c>
      <c r="C29" t="s">
        <v>33</v>
      </c>
      <c r="D29" t="s">
        <v>142</v>
      </c>
      <c r="E29" t="s">
        <v>43</v>
      </c>
      <c r="F29" t="s">
        <v>143</v>
      </c>
      <c r="G29" t="s">
        <v>143</v>
      </c>
      <c r="H29" t="s">
        <v>191</v>
      </c>
      <c r="I29" t="s">
        <v>19</v>
      </c>
      <c r="J29" t="s">
        <v>20</v>
      </c>
      <c r="K29" t="s">
        <v>22</v>
      </c>
      <c r="L29" s="6" t="s">
        <v>262</v>
      </c>
      <c r="M29" s="6" t="s">
        <v>216</v>
      </c>
      <c r="N29" s="6" t="s">
        <v>210</v>
      </c>
      <c r="O29" s="6" t="s">
        <v>143</v>
      </c>
      <c r="P29" s="6" t="s">
        <v>266</v>
      </c>
      <c r="Q29" t="s">
        <v>21</v>
      </c>
      <c r="R29" s="2">
        <v>45704</v>
      </c>
      <c r="S29" s="2">
        <v>45705</v>
      </c>
      <c r="T29" s="4">
        <v>45719</v>
      </c>
      <c r="U29" t="s">
        <v>30</v>
      </c>
      <c r="V29" t="s">
        <v>168</v>
      </c>
      <c r="W29" t="s">
        <v>173</v>
      </c>
      <c r="X29" t="s">
        <v>154</v>
      </c>
      <c r="Y29" t="s">
        <v>155</v>
      </c>
      <c r="Z29" t="s">
        <v>162</v>
      </c>
      <c r="AA29" t="s">
        <v>165</v>
      </c>
      <c r="AB29" t="s">
        <v>270</v>
      </c>
      <c r="AC29" t="str">
        <f t="shared" si="0"/>
        <v>Compliant</v>
      </c>
    </row>
    <row r="30" spans="1:29" s="5" customFormat="1" x14ac:dyDescent="0.3">
      <c r="A30" s="5" t="s">
        <v>144</v>
      </c>
      <c r="B30" s="5" t="s">
        <v>24</v>
      </c>
      <c r="C30" s="5" t="s">
        <v>145</v>
      </c>
      <c r="D30" s="5" t="s">
        <v>146</v>
      </c>
      <c r="E30" s="5" t="s">
        <v>147</v>
      </c>
      <c r="F30" s="5" t="s">
        <v>39</v>
      </c>
      <c r="G30" s="5" t="s">
        <v>39</v>
      </c>
      <c r="H30" s="5" t="s">
        <v>179</v>
      </c>
      <c r="I30" s="5" t="s">
        <v>29</v>
      </c>
      <c r="J30" s="5" t="s">
        <v>30</v>
      </c>
      <c r="K30" s="5" t="s">
        <v>22</v>
      </c>
      <c r="L30" s="6" t="s">
        <v>213</v>
      </c>
      <c r="M30" s="6" t="s">
        <v>213</v>
      </c>
      <c r="N30" s="6" t="s">
        <v>210</v>
      </c>
      <c r="O30" s="6" t="s">
        <v>211</v>
      </c>
      <c r="P30" s="6" t="s">
        <v>268</v>
      </c>
      <c r="Q30" s="5" t="s">
        <v>31</v>
      </c>
      <c r="R30" s="7">
        <v>45706</v>
      </c>
      <c r="S30" s="7">
        <v>45707</v>
      </c>
      <c r="T30" s="8" t="s">
        <v>30</v>
      </c>
      <c r="U30" s="5" t="s">
        <v>170</v>
      </c>
      <c r="V30" s="5" t="s">
        <v>172</v>
      </c>
      <c r="W30" s="5" t="s">
        <v>174</v>
      </c>
      <c r="X30" s="5" t="s">
        <v>153</v>
      </c>
      <c r="Y30" s="5" t="s">
        <v>30</v>
      </c>
      <c r="Z30" s="5" t="s">
        <v>162</v>
      </c>
      <c r="AA30" s="5" t="s">
        <v>165</v>
      </c>
      <c r="AB30" t="s">
        <v>270</v>
      </c>
      <c r="AC30" s="5" t="str">
        <f t="shared" si="0"/>
        <v>Compliance Risk</v>
      </c>
    </row>
    <row r="31" spans="1:29" x14ac:dyDescent="0.3">
      <c r="A31" t="s">
        <v>148</v>
      </c>
      <c r="B31" t="s">
        <v>14</v>
      </c>
      <c r="C31" t="s">
        <v>149</v>
      </c>
      <c r="D31" t="s">
        <v>150</v>
      </c>
      <c r="E31" t="s">
        <v>27</v>
      </c>
      <c r="F31" t="s">
        <v>151</v>
      </c>
      <c r="G31" t="s">
        <v>197</v>
      </c>
      <c r="H31" t="s">
        <v>196</v>
      </c>
      <c r="I31" t="s">
        <v>19</v>
      </c>
      <c r="J31" t="s">
        <v>20</v>
      </c>
      <c r="K31" t="s">
        <v>22</v>
      </c>
      <c r="L31" s="6" t="s">
        <v>263</v>
      </c>
      <c r="M31" s="6" t="s">
        <v>222</v>
      </c>
      <c r="N31" s="6" t="s">
        <v>264</v>
      </c>
      <c r="O31" s="6" t="s">
        <v>223</v>
      </c>
      <c r="P31" s="6" t="s">
        <v>266</v>
      </c>
      <c r="Q31" t="s">
        <v>21</v>
      </c>
      <c r="R31" s="2">
        <v>45707</v>
      </c>
      <c r="S31" s="2">
        <v>45708</v>
      </c>
      <c r="T31" s="4">
        <v>45722</v>
      </c>
      <c r="U31" t="s">
        <v>30</v>
      </c>
      <c r="V31" t="s">
        <v>168</v>
      </c>
      <c r="W31" t="s">
        <v>173</v>
      </c>
      <c r="X31" t="s">
        <v>153</v>
      </c>
      <c r="Y31" t="s">
        <v>30</v>
      </c>
      <c r="Z31" t="s">
        <v>162</v>
      </c>
      <c r="AA31" t="s">
        <v>165</v>
      </c>
      <c r="AB31" t="s">
        <v>270</v>
      </c>
      <c r="AC31" t="str">
        <f t="shared" si="0"/>
        <v>Compliant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selection activeCell="H25" sqref="H25"/>
    </sheetView>
  </sheetViews>
  <sheetFormatPr defaultRowHeight="14.4" x14ac:dyDescent="0.3"/>
  <cols>
    <col min="2" max="2" width="16.5546875" bestFit="1" customWidth="1"/>
    <col min="3" max="3" width="15.21875" bestFit="1" customWidth="1"/>
    <col min="4" max="4" width="21.88671875" bestFit="1" customWidth="1"/>
    <col min="5" max="5" width="13.33203125" bestFit="1" customWidth="1"/>
    <col min="6" max="6" width="17.77734375" bestFit="1" customWidth="1"/>
    <col min="7" max="7" width="14.77734375" bestFit="1" customWidth="1"/>
    <col min="8" max="8" width="20.77734375" bestFit="1" customWidth="1"/>
    <col min="9" max="9" width="17.77734375" bestFit="1" customWidth="1"/>
    <col min="10" max="10" width="28.5546875" bestFit="1" customWidth="1"/>
    <col min="11" max="11" width="15.77734375" bestFit="1" customWidth="1"/>
    <col min="12" max="12" width="9.44140625" bestFit="1" customWidth="1"/>
    <col min="13" max="13" width="11.88671875" bestFit="1" customWidth="1"/>
    <col min="14" max="14" width="14.21875" bestFit="1" customWidth="1"/>
    <col min="15" max="15" width="23.21875" bestFit="1" customWidth="1"/>
  </cols>
  <sheetData>
    <row r="1" spans="1:15" x14ac:dyDescent="0.3">
      <c r="A1" s="6" t="s">
        <v>0</v>
      </c>
      <c r="B1" s="6" t="s">
        <v>316</v>
      </c>
      <c r="C1" s="6" t="s">
        <v>305</v>
      </c>
      <c r="D1" s="6" t="s">
        <v>306</v>
      </c>
      <c r="E1" s="6" t="s">
        <v>271</v>
      </c>
      <c r="F1" s="6" t="s">
        <v>307</v>
      </c>
      <c r="G1" s="6" t="s">
        <v>308</v>
      </c>
      <c r="H1" s="6" t="s">
        <v>309</v>
      </c>
      <c r="I1" s="6" t="s">
        <v>310</v>
      </c>
      <c r="J1" s="6" t="s">
        <v>311</v>
      </c>
      <c r="K1" s="6" t="s">
        <v>312</v>
      </c>
      <c r="L1" s="6" t="s">
        <v>269</v>
      </c>
      <c r="M1" s="6" t="s">
        <v>313</v>
      </c>
      <c r="N1" s="6" t="s">
        <v>314</v>
      </c>
      <c r="O1" s="6" t="s">
        <v>315</v>
      </c>
    </row>
    <row r="2" spans="1:15" x14ac:dyDescent="0.3">
      <c r="A2" s="6" t="s">
        <v>272</v>
      </c>
      <c r="B2" s="6" t="s">
        <v>153</v>
      </c>
      <c r="C2" t="s">
        <v>153</v>
      </c>
      <c r="D2" s="6" t="s">
        <v>153</v>
      </c>
      <c r="E2" s="6" t="s">
        <v>153</v>
      </c>
      <c r="F2" t="s">
        <v>153</v>
      </c>
      <c r="G2" s="6" t="s">
        <v>153</v>
      </c>
      <c r="H2" s="6" t="s">
        <v>153</v>
      </c>
      <c r="I2" s="6" t="s">
        <v>153</v>
      </c>
      <c r="J2" t="s">
        <v>154</v>
      </c>
      <c r="K2" s="6" t="s">
        <v>153</v>
      </c>
      <c r="L2" s="6" t="s">
        <v>273</v>
      </c>
      <c r="M2" s="6" t="s">
        <v>274</v>
      </c>
      <c r="N2" s="9">
        <v>46004</v>
      </c>
      <c r="O2" s="6" t="s">
        <v>275</v>
      </c>
    </row>
    <row r="3" spans="1:15" x14ac:dyDescent="0.3">
      <c r="A3" s="6" t="s">
        <v>276</v>
      </c>
      <c r="B3" s="6" t="s">
        <v>30</v>
      </c>
      <c r="C3" t="s">
        <v>153</v>
      </c>
      <c r="D3" s="6" t="s">
        <v>30</v>
      </c>
      <c r="E3" s="6" t="s">
        <v>30</v>
      </c>
      <c r="F3" t="s">
        <v>30</v>
      </c>
      <c r="G3" s="6" t="s">
        <v>153</v>
      </c>
      <c r="H3" s="6" t="s">
        <v>30</v>
      </c>
      <c r="I3" s="6" t="s">
        <v>30</v>
      </c>
      <c r="J3" t="s">
        <v>153</v>
      </c>
      <c r="K3" s="6" t="s">
        <v>30</v>
      </c>
      <c r="L3" s="6" t="s">
        <v>273</v>
      </c>
      <c r="M3" s="6" t="s">
        <v>274</v>
      </c>
      <c r="N3" s="9">
        <v>46004</v>
      </c>
      <c r="O3" s="6" t="s">
        <v>275</v>
      </c>
    </row>
    <row r="4" spans="1:15" x14ac:dyDescent="0.3">
      <c r="A4" s="6" t="s">
        <v>277</v>
      </c>
      <c r="B4" s="6" t="s">
        <v>30</v>
      </c>
      <c r="C4" t="s">
        <v>154</v>
      </c>
      <c r="D4" s="6" t="s">
        <v>30</v>
      </c>
      <c r="E4" s="6" t="s">
        <v>30</v>
      </c>
      <c r="F4" t="s">
        <v>153</v>
      </c>
      <c r="G4" s="6" t="s">
        <v>153</v>
      </c>
      <c r="H4" s="6" t="s">
        <v>30</v>
      </c>
      <c r="I4" s="6" t="s">
        <v>30</v>
      </c>
      <c r="J4" t="s">
        <v>154</v>
      </c>
      <c r="K4" s="6" t="s">
        <v>30</v>
      </c>
      <c r="L4" s="6" t="s">
        <v>273</v>
      </c>
      <c r="M4" s="6" t="s">
        <v>274</v>
      </c>
      <c r="N4" s="9">
        <v>46004</v>
      </c>
      <c r="O4" s="6" t="s">
        <v>275</v>
      </c>
    </row>
    <row r="5" spans="1:15" x14ac:dyDescent="0.3">
      <c r="A5" s="6" t="s">
        <v>278</v>
      </c>
      <c r="B5" s="6" t="s">
        <v>30</v>
      </c>
      <c r="C5" t="s">
        <v>154</v>
      </c>
      <c r="D5" s="6" t="s">
        <v>30</v>
      </c>
      <c r="E5" s="6" t="s">
        <v>30</v>
      </c>
      <c r="F5" t="s">
        <v>153</v>
      </c>
      <c r="G5" s="6" t="s">
        <v>153</v>
      </c>
      <c r="H5" s="6" t="s">
        <v>30</v>
      </c>
      <c r="I5" s="6" t="s">
        <v>30</v>
      </c>
      <c r="J5" t="s">
        <v>153</v>
      </c>
      <c r="K5" s="6" t="s">
        <v>30</v>
      </c>
      <c r="L5" s="6" t="s">
        <v>273</v>
      </c>
      <c r="M5" s="6" t="s">
        <v>274</v>
      </c>
      <c r="N5" s="9">
        <v>46004</v>
      </c>
      <c r="O5" s="6" t="s">
        <v>275</v>
      </c>
    </row>
    <row r="6" spans="1:15" x14ac:dyDescent="0.3">
      <c r="A6" s="6" t="s">
        <v>279</v>
      </c>
      <c r="B6" s="6" t="s">
        <v>153</v>
      </c>
      <c r="C6" s="5" t="s">
        <v>153</v>
      </c>
      <c r="D6" s="6" t="s">
        <v>153</v>
      </c>
      <c r="E6" s="6" t="s">
        <v>153</v>
      </c>
      <c r="F6" s="5" t="s">
        <v>153</v>
      </c>
      <c r="G6" s="6" t="s">
        <v>153</v>
      </c>
      <c r="H6" s="6" t="s">
        <v>153</v>
      </c>
      <c r="I6" s="6" t="s">
        <v>153</v>
      </c>
      <c r="J6" s="5" t="s">
        <v>154</v>
      </c>
      <c r="K6" s="6" t="s">
        <v>153</v>
      </c>
      <c r="L6" s="6" t="s">
        <v>273</v>
      </c>
      <c r="M6" s="6" t="s">
        <v>274</v>
      </c>
      <c r="N6" s="9">
        <v>46004</v>
      </c>
      <c r="O6" s="6" t="s">
        <v>275</v>
      </c>
    </row>
    <row r="7" spans="1:15" x14ac:dyDescent="0.3">
      <c r="A7" s="6" t="s">
        <v>280</v>
      </c>
      <c r="B7" s="6" t="s">
        <v>30</v>
      </c>
      <c r="C7" t="s">
        <v>154</v>
      </c>
      <c r="D7" s="6" t="s">
        <v>30</v>
      </c>
      <c r="E7" s="6" t="s">
        <v>30</v>
      </c>
      <c r="F7" t="s">
        <v>30</v>
      </c>
      <c r="G7" s="6" t="s">
        <v>153</v>
      </c>
      <c r="H7" s="6" t="s">
        <v>30</v>
      </c>
      <c r="I7" s="6" t="s">
        <v>30</v>
      </c>
      <c r="J7" t="s">
        <v>153</v>
      </c>
      <c r="K7" s="6" t="s">
        <v>30</v>
      </c>
      <c r="L7" s="6" t="s">
        <v>273</v>
      </c>
      <c r="M7" s="6" t="s">
        <v>274</v>
      </c>
      <c r="N7" s="9">
        <v>46004</v>
      </c>
      <c r="O7" s="6" t="s">
        <v>275</v>
      </c>
    </row>
    <row r="8" spans="1:15" x14ac:dyDescent="0.3">
      <c r="A8" s="6" t="s">
        <v>281</v>
      </c>
      <c r="B8" s="6" t="s">
        <v>30</v>
      </c>
      <c r="C8" t="s">
        <v>153</v>
      </c>
      <c r="D8" s="6" t="s">
        <v>30</v>
      </c>
      <c r="E8" s="6" t="s">
        <v>30</v>
      </c>
      <c r="F8" t="s">
        <v>30</v>
      </c>
      <c r="G8" s="6" t="s">
        <v>153</v>
      </c>
      <c r="H8" s="6" t="s">
        <v>30</v>
      </c>
      <c r="I8" s="6" t="s">
        <v>30</v>
      </c>
      <c r="J8" t="s">
        <v>153</v>
      </c>
      <c r="K8" s="6" t="s">
        <v>30</v>
      </c>
      <c r="L8" s="6" t="s">
        <v>273</v>
      </c>
      <c r="M8" s="6" t="s">
        <v>274</v>
      </c>
      <c r="N8" s="9">
        <v>46004</v>
      </c>
      <c r="O8" s="6" t="s">
        <v>275</v>
      </c>
    </row>
    <row r="9" spans="1:15" x14ac:dyDescent="0.3">
      <c r="A9" s="6" t="s">
        <v>282</v>
      </c>
      <c r="B9" s="6" t="s">
        <v>30</v>
      </c>
      <c r="C9" t="s">
        <v>154</v>
      </c>
      <c r="D9" s="6" t="s">
        <v>30</v>
      </c>
      <c r="E9" s="6" t="s">
        <v>30</v>
      </c>
      <c r="F9" t="s">
        <v>153</v>
      </c>
      <c r="G9" s="6" t="s">
        <v>153</v>
      </c>
      <c r="H9" s="6" t="s">
        <v>30</v>
      </c>
      <c r="I9" s="6" t="s">
        <v>30</v>
      </c>
      <c r="J9" t="s">
        <v>154</v>
      </c>
      <c r="K9" s="6" t="s">
        <v>30</v>
      </c>
      <c r="L9" s="6" t="s">
        <v>273</v>
      </c>
      <c r="M9" s="6" t="s">
        <v>274</v>
      </c>
      <c r="N9" s="9">
        <v>46004</v>
      </c>
      <c r="O9" s="6" t="s">
        <v>275</v>
      </c>
    </row>
    <row r="10" spans="1:15" x14ac:dyDescent="0.3">
      <c r="A10" s="6" t="s">
        <v>283</v>
      </c>
      <c r="B10" s="6" t="s">
        <v>30</v>
      </c>
      <c r="C10" t="s">
        <v>154</v>
      </c>
      <c r="D10" s="6" t="s">
        <v>30</v>
      </c>
      <c r="E10" s="6" t="s">
        <v>30</v>
      </c>
      <c r="F10" t="s">
        <v>153</v>
      </c>
      <c r="G10" s="6" t="s">
        <v>153</v>
      </c>
      <c r="H10" s="6" t="s">
        <v>30</v>
      </c>
      <c r="I10" s="6" t="s">
        <v>30</v>
      </c>
      <c r="J10" t="s">
        <v>154</v>
      </c>
      <c r="K10" s="6" t="s">
        <v>30</v>
      </c>
      <c r="L10" s="6" t="s">
        <v>273</v>
      </c>
      <c r="M10" s="6" t="s">
        <v>274</v>
      </c>
      <c r="N10" s="9">
        <v>46004</v>
      </c>
      <c r="O10" s="6" t="s">
        <v>275</v>
      </c>
    </row>
    <row r="11" spans="1:15" x14ac:dyDescent="0.3">
      <c r="A11" s="6" t="s">
        <v>284</v>
      </c>
      <c r="B11" s="6" t="s">
        <v>30</v>
      </c>
      <c r="C11" t="s">
        <v>153</v>
      </c>
      <c r="D11" s="6" t="s">
        <v>30</v>
      </c>
      <c r="E11" s="6" t="s">
        <v>30</v>
      </c>
      <c r="F11" t="s">
        <v>30</v>
      </c>
      <c r="G11" s="6" t="s">
        <v>153</v>
      </c>
      <c r="H11" s="6" t="s">
        <v>30</v>
      </c>
      <c r="I11" s="6" t="s">
        <v>30</v>
      </c>
      <c r="J11" t="s">
        <v>153</v>
      </c>
      <c r="K11" s="6" t="s">
        <v>30</v>
      </c>
      <c r="L11" s="6" t="s">
        <v>273</v>
      </c>
      <c r="M11" s="6" t="s">
        <v>274</v>
      </c>
      <c r="N11" s="9">
        <v>46004</v>
      </c>
      <c r="O11" s="6" t="s">
        <v>275</v>
      </c>
    </row>
    <row r="12" spans="1:15" x14ac:dyDescent="0.3">
      <c r="A12" s="6" t="s">
        <v>285</v>
      </c>
      <c r="B12" s="6" t="s">
        <v>30</v>
      </c>
      <c r="C12" t="s">
        <v>153</v>
      </c>
      <c r="D12" s="6" t="s">
        <v>30</v>
      </c>
      <c r="E12" s="6" t="s">
        <v>30</v>
      </c>
      <c r="F12" t="s">
        <v>30</v>
      </c>
      <c r="G12" s="6" t="s">
        <v>153</v>
      </c>
      <c r="H12" s="6" t="s">
        <v>30</v>
      </c>
      <c r="I12" s="6" t="s">
        <v>30</v>
      </c>
      <c r="J12" t="s">
        <v>153</v>
      </c>
      <c r="K12" s="6" t="s">
        <v>30</v>
      </c>
      <c r="L12" s="6" t="s">
        <v>273</v>
      </c>
      <c r="M12" s="6" t="s">
        <v>274</v>
      </c>
      <c r="N12" s="9">
        <v>46004</v>
      </c>
      <c r="O12" s="6" t="s">
        <v>275</v>
      </c>
    </row>
    <row r="13" spans="1:15" x14ac:dyDescent="0.3">
      <c r="A13" s="6" t="s">
        <v>286</v>
      </c>
      <c r="B13" s="6" t="s">
        <v>30</v>
      </c>
      <c r="C13" t="s">
        <v>154</v>
      </c>
      <c r="D13" s="6" t="s">
        <v>30</v>
      </c>
      <c r="E13" s="6" t="s">
        <v>30</v>
      </c>
      <c r="F13" t="s">
        <v>153</v>
      </c>
      <c r="G13" s="6" t="s">
        <v>153</v>
      </c>
      <c r="H13" s="6" t="s">
        <v>30</v>
      </c>
      <c r="I13" s="6" t="s">
        <v>30</v>
      </c>
      <c r="J13" t="s">
        <v>154</v>
      </c>
      <c r="K13" s="6" t="s">
        <v>30</v>
      </c>
      <c r="L13" s="6" t="s">
        <v>273</v>
      </c>
      <c r="M13" s="6" t="s">
        <v>274</v>
      </c>
      <c r="N13" s="9">
        <v>46004</v>
      </c>
      <c r="O13" s="6" t="s">
        <v>275</v>
      </c>
    </row>
    <row r="14" spans="1:15" x14ac:dyDescent="0.3">
      <c r="A14" s="6" t="s">
        <v>287</v>
      </c>
      <c r="B14" s="6" t="s">
        <v>30</v>
      </c>
      <c r="C14" t="s">
        <v>153</v>
      </c>
      <c r="D14" s="6" t="s">
        <v>30</v>
      </c>
      <c r="E14" s="6" t="s">
        <v>30</v>
      </c>
      <c r="F14" t="s">
        <v>30</v>
      </c>
      <c r="G14" s="6" t="s">
        <v>153</v>
      </c>
      <c r="H14" s="6" t="s">
        <v>30</v>
      </c>
      <c r="I14" s="6" t="s">
        <v>30</v>
      </c>
      <c r="J14" t="s">
        <v>153</v>
      </c>
      <c r="K14" s="6" t="s">
        <v>30</v>
      </c>
      <c r="L14" s="6" t="s">
        <v>273</v>
      </c>
      <c r="M14" s="6" t="s">
        <v>274</v>
      </c>
      <c r="N14" s="9">
        <v>46004</v>
      </c>
      <c r="O14" s="6" t="s">
        <v>275</v>
      </c>
    </row>
    <row r="15" spans="1:15" x14ac:dyDescent="0.3">
      <c r="A15" s="6" t="s">
        <v>288</v>
      </c>
      <c r="B15" s="6" t="s">
        <v>30</v>
      </c>
      <c r="C15" t="s">
        <v>153</v>
      </c>
      <c r="D15" s="6" t="s">
        <v>30</v>
      </c>
      <c r="E15" s="6" t="s">
        <v>30</v>
      </c>
      <c r="F15" t="s">
        <v>153</v>
      </c>
      <c r="G15" s="6" t="s">
        <v>153</v>
      </c>
      <c r="H15" s="6" t="s">
        <v>30</v>
      </c>
      <c r="I15" s="6" t="s">
        <v>30</v>
      </c>
      <c r="J15" t="s">
        <v>154</v>
      </c>
      <c r="K15" s="6" t="s">
        <v>30</v>
      </c>
      <c r="L15" s="6" t="s">
        <v>273</v>
      </c>
      <c r="M15" s="6" t="s">
        <v>274</v>
      </c>
      <c r="N15" s="9">
        <v>46004</v>
      </c>
      <c r="O15" s="6" t="s">
        <v>275</v>
      </c>
    </row>
    <row r="16" spans="1:15" x14ac:dyDescent="0.3">
      <c r="A16" s="6" t="s">
        <v>289</v>
      </c>
      <c r="B16" s="6" t="s">
        <v>30</v>
      </c>
      <c r="C16" t="s">
        <v>153</v>
      </c>
      <c r="D16" s="6" t="s">
        <v>30</v>
      </c>
      <c r="E16" s="6" t="s">
        <v>30</v>
      </c>
      <c r="F16" t="s">
        <v>30</v>
      </c>
      <c r="G16" s="6" t="s">
        <v>153</v>
      </c>
      <c r="H16" s="6" t="s">
        <v>30</v>
      </c>
      <c r="I16" s="6" t="s">
        <v>30</v>
      </c>
      <c r="J16" t="s">
        <v>153</v>
      </c>
      <c r="K16" s="6" t="s">
        <v>30</v>
      </c>
      <c r="L16" s="6" t="s">
        <v>273</v>
      </c>
      <c r="M16" s="6" t="s">
        <v>274</v>
      </c>
      <c r="N16" s="9">
        <v>46004</v>
      </c>
      <c r="O16" s="6" t="s">
        <v>275</v>
      </c>
    </row>
    <row r="17" spans="1:15" x14ac:dyDescent="0.3">
      <c r="A17" s="6" t="s">
        <v>290</v>
      </c>
      <c r="B17" s="6" t="s">
        <v>30</v>
      </c>
      <c r="C17" t="s">
        <v>154</v>
      </c>
      <c r="D17" s="6" t="s">
        <v>30</v>
      </c>
      <c r="E17" s="6" t="s">
        <v>30</v>
      </c>
      <c r="F17" t="s">
        <v>153</v>
      </c>
      <c r="G17" s="6" t="s">
        <v>153</v>
      </c>
      <c r="H17" s="6" t="s">
        <v>30</v>
      </c>
      <c r="I17" s="6" t="s">
        <v>30</v>
      </c>
      <c r="J17" t="s">
        <v>154</v>
      </c>
      <c r="K17" s="6" t="s">
        <v>30</v>
      </c>
      <c r="L17" s="6" t="s">
        <v>273</v>
      </c>
      <c r="M17" s="6" t="s">
        <v>274</v>
      </c>
      <c r="N17" s="9">
        <v>46004</v>
      </c>
      <c r="O17" s="6" t="s">
        <v>275</v>
      </c>
    </row>
    <row r="18" spans="1:15" x14ac:dyDescent="0.3">
      <c r="A18" s="6" t="s">
        <v>291</v>
      </c>
      <c r="B18" s="6" t="s">
        <v>153</v>
      </c>
      <c r="C18" s="5" t="s">
        <v>153</v>
      </c>
      <c r="D18" s="6" t="s">
        <v>153</v>
      </c>
      <c r="E18" s="6" t="s">
        <v>153</v>
      </c>
      <c r="F18" s="5" t="s">
        <v>153</v>
      </c>
      <c r="G18" s="6" t="s">
        <v>153</v>
      </c>
      <c r="H18" s="6" t="s">
        <v>153</v>
      </c>
      <c r="I18" s="6" t="s">
        <v>153</v>
      </c>
      <c r="J18" s="5" t="s">
        <v>154</v>
      </c>
      <c r="K18" s="6" t="s">
        <v>153</v>
      </c>
      <c r="L18" s="6" t="s">
        <v>273</v>
      </c>
      <c r="M18" s="6" t="s">
        <v>274</v>
      </c>
      <c r="N18" s="9">
        <v>46004</v>
      </c>
      <c r="O18" s="6" t="s">
        <v>275</v>
      </c>
    </row>
    <row r="19" spans="1:15" x14ac:dyDescent="0.3">
      <c r="A19" s="6" t="s">
        <v>292</v>
      </c>
      <c r="B19" s="6" t="s">
        <v>30</v>
      </c>
      <c r="C19" t="s">
        <v>154</v>
      </c>
      <c r="D19" s="6" t="s">
        <v>30</v>
      </c>
      <c r="E19" s="6" t="s">
        <v>153</v>
      </c>
      <c r="F19" t="s">
        <v>153</v>
      </c>
      <c r="G19" s="6" t="s">
        <v>153</v>
      </c>
      <c r="H19" s="6" t="s">
        <v>30</v>
      </c>
      <c r="I19" s="6" t="s">
        <v>30</v>
      </c>
      <c r="J19" t="s">
        <v>154</v>
      </c>
      <c r="K19" s="6" t="s">
        <v>30</v>
      </c>
      <c r="L19" s="6" t="s">
        <v>273</v>
      </c>
      <c r="M19" s="6" t="s">
        <v>274</v>
      </c>
      <c r="N19" s="9">
        <v>46004</v>
      </c>
      <c r="O19" s="6" t="s">
        <v>275</v>
      </c>
    </row>
    <row r="20" spans="1:15" x14ac:dyDescent="0.3">
      <c r="A20" s="6" t="s">
        <v>293</v>
      </c>
      <c r="B20" s="6" t="s">
        <v>30</v>
      </c>
      <c r="C20" t="s">
        <v>154</v>
      </c>
      <c r="D20" s="6" t="s">
        <v>30</v>
      </c>
      <c r="E20" s="6" t="s">
        <v>153</v>
      </c>
      <c r="F20" t="s">
        <v>30</v>
      </c>
      <c r="G20" s="6" t="s">
        <v>153</v>
      </c>
      <c r="H20" s="6" t="s">
        <v>30</v>
      </c>
      <c r="I20" s="6" t="s">
        <v>30</v>
      </c>
      <c r="J20" t="s">
        <v>153</v>
      </c>
      <c r="K20" s="6" t="s">
        <v>30</v>
      </c>
      <c r="L20" s="6" t="s">
        <v>273</v>
      </c>
      <c r="M20" s="6" t="s">
        <v>274</v>
      </c>
      <c r="N20" s="9">
        <v>46004</v>
      </c>
      <c r="O20" s="6" t="s">
        <v>275</v>
      </c>
    </row>
    <row r="21" spans="1:15" x14ac:dyDescent="0.3">
      <c r="A21" s="6" t="s">
        <v>294</v>
      </c>
      <c r="B21" s="6" t="s">
        <v>30</v>
      </c>
      <c r="C21" t="s">
        <v>153</v>
      </c>
      <c r="D21" s="6" t="s">
        <v>30</v>
      </c>
      <c r="E21" s="6" t="s">
        <v>153</v>
      </c>
      <c r="F21" t="s">
        <v>153</v>
      </c>
      <c r="G21" s="6" t="s">
        <v>153</v>
      </c>
      <c r="H21" s="6" t="s">
        <v>30</v>
      </c>
      <c r="I21" s="6" t="s">
        <v>30</v>
      </c>
      <c r="J21" t="s">
        <v>154</v>
      </c>
      <c r="K21" s="6" t="s">
        <v>30</v>
      </c>
      <c r="L21" s="6" t="s">
        <v>273</v>
      </c>
      <c r="M21" s="6" t="s">
        <v>274</v>
      </c>
      <c r="N21" s="9">
        <v>46004</v>
      </c>
      <c r="O21" s="6" t="s">
        <v>275</v>
      </c>
    </row>
    <row r="22" spans="1:15" x14ac:dyDescent="0.3">
      <c r="A22" s="6" t="s">
        <v>295</v>
      </c>
      <c r="B22" s="6" t="s">
        <v>30</v>
      </c>
      <c r="C22" t="s">
        <v>153</v>
      </c>
      <c r="D22" s="6" t="s">
        <v>30</v>
      </c>
      <c r="E22" s="6" t="s">
        <v>153</v>
      </c>
      <c r="F22" t="s">
        <v>30</v>
      </c>
      <c r="G22" s="6" t="s">
        <v>153</v>
      </c>
      <c r="H22" s="6" t="s">
        <v>30</v>
      </c>
      <c r="I22" s="6" t="s">
        <v>30</v>
      </c>
      <c r="J22" t="s">
        <v>153</v>
      </c>
      <c r="K22" s="6" t="s">
        <v>30</v>
      </c>
      <c r="L22" s="6" t="s">
        <v>273</v>
      </c>
      <c r="M22" s="6" t="s">
        <v>274</v>
      </c>
      <c r="N22" s="9">
        <v>46004</v>
      </c>
      <c r="O22" s="6" t="s">
        <v>275</v>
      </c>
    </row>
    <row r="23" spans="1:15" x14ac:dyDescent="0.3">
      <c r="A23" s="6" t="s">
        <v>296</v>
      </c>
      <c r="B23" s="6" t="s">
        <v>30</v>
      </c>
      <c r="C23" t="s">
        <v>153</v>
      </c>
      <c r="D23" s="6" t="s">
        <v>30</v>
      </c>
      <c r="E23" s="6" t="s">
        <v>153</v>
      </c>
      <c r="F23" t="s">
        <v>153</v>
      </c>
      <c r="G23" s="6" t="s">
        <v>153</v>
      </c>
      <c r="H23" s="6" t="s">
        <v>30</v>
      </c>
      <c r="I23" s="6" t="s">
        <v>30</v>
      </c>
      <c r="J23" t="s">
        <v>154</v>
      </c>
      <c r="K23" s="6" t="s">
        <v>30</v>
      </c>
      <c r="L23" s="6" t="s">
        <v>273</v>
      </c>
      <c r="M23" s="6" t="s">
        <v>274</v>
      </c>
      <c r="N23" s="9">
        <v>46004</v>
      </c>
      <c r="O23" s="6" t="s">
        <v>275</v>
      </c>
    </row>
    <row r="24" spans="1:15" x14ac:dyDescent="0.3">
      <c r="A24" s="6" t="s">
        <v>297</v>
      </c>
      <c r="B24" s="6" t="s">
        <v>30</v>
      </c>
      <c r="C24" t="s">
        <v>153</v>
      </c>
      <c r="D24" s="6" t="s">
        <v>30</v>
      </c>
      <c r="E24" s="6" t="s">
        <v>153</v>
      </c>
      <c r="F24" t="s">
        <v>30</v>
      </c>
      <c r="G24" s="6" t="s">
        <v>153</v>
      </c>
      <c r="H24" s="6" t="s">
        <v>30</v>
      </c>
      <c r="I24" s="6" t="s">
        <v>30</v>
      </c>
      <c r="J24" t="s">
        <v>153</v>
      </c>
      <c r="K24" s="6" t="s">
        <v>30</v>
      </c>
      <c r="L24" s="6" t="s">
        <v>273</v>
      </c>
      <c r="M24" s="6" t="s">
        <v>274</v>
      </c>
      <c r="N24" s="9">
        <v>46004</v>
      </c>
      <c r="O24" s="6" t="s">
        <v>275</v>
      </c>
    </row>
    <row r="25" spans="1:15" x14ac:dyDescent="0.3">
      <c r="A25" s="6" t="s">
        <v>298</v>
      </c>
      <c r="B25" s="6" t="s">
        <v>30</v>
      </c>
      <c r="C25" t="s">
        <v>154</v>
      </c>
      <c r="D25" s="6" t="s">
        <v>30</v>
      </c>
      <c r="E25" s="6" t="s">
        <v>153</v>
      </c>
      <c r="F25" t="s">
        <v>153</v>
      </c>
      <c r="G25" s="6" t="s">
        <v>153</v>
      </c>
      <c r="H25" s="6" t="s">
        <v>30</v>
      </c>
      <c r="I25" s="6" t="s">
        <v>30</v>
      </c>
      <c r="J25" t="s">
        <v>154</v>
      </c>
      <c r="K25" s="6" t="s">
        <v>30</v>
      </c>
      <c r="L25" s="6" t="s">
        <v>273</v>
      </c>
      <c r="M25" s="6" t="s">
        <v>274</v>
      </c>
      <c r="N25" s="9">
        <v>46004</v>
      </c>
      <c r="O25" s="6" t="s">
        <v>275</v>
      </c>
    </row>
    <row r="26" spans="1:15" x14ac:dyDescent="0.3">
      <c r="A26" s="6" t="s">
        <v>299</v>
      </c>
      <c r="B26" s="6" t="s">
        <v>30</v>
      </c>
      <c r="C26" t="s">
        <v>153</v>
      </c>
      <c r="D26" s="6" t="s">
        <v>30</v>
      </c>
      <c r="E26" s="6" t="s">
        <v>153</v>
      </c>
      <c r="F26" t="s">
        <v>30</v>
      </c>
      <c r="G26" s="6" t="s">
        <v>153</v>
      </c>
      <c r="H26" s="6" t="s">
        <v>30</v>
      </c>
      <c r="I26" s="6" t="s">
        <v>30</v>
      </c>
      <c r="J26" t="s">
        <v>153</v>
      </c>
      <c r="K26" s="6" t="s">
        <v>30</v>
      </c>
      <c r="L26" s="6" t="s">
        <v>273</v>
      </c>
      <c r="M26" s="6" t="s">
        <v>274</v>
      </c>
      <c r="N26" s="9">
        <v>46004</v>
      </c>
      <c r="O26" s="6" t="s">
        <v>275</v>
      </c>
    </row>
    <row r="27" spans="1:15" x14ac:dyDescent="0.3">
      <c r="A27" s="6" t="s">
        <v>300</v>
      </c>
      <c r="B27" s="6" t="s">
        <v>30</v>
      </c>
      <c r="C27" t="s">
        <v>153</v>
      </c>
      <c r="D27" s="6" t="s">
        <v>30</v>
      </c>
      <c r="E27" s="6" t="s">
        <v>153</v>
      </c>
      <c r="F27" t="s">
        <v>153</v>
      </c>
      <c r="G27" s="6" t="s">
        <v>153</v>
      </c>
      <c r="H27" s="6" t="s">
        <v>30</v>
      </c>
      <c r="I27" s="6" t="s">
        <v>30</v>
      </c>
      <c r="J27" t="s">
        <v>154</v>
      </c>
      <c r="K27" s="6" t="s">
        <v>30</v>
      </c>
      <c r="L27" s="6" t="s">
        <v>273</v>
      </c>
      <c r="M27" s="6" t="s">
        <v>274</v>
      </c>
      <c r="N27" s="9">
        <v>46004</v>
      </c>
      <c r="O27" s="6" t="s">
        <v>275</v>
      </c>
    </row>
    <row r="28" spans="1:15" x14ac:dyDescent="0.3">
      <c r="A28" s="6" t="s">
        <v>301</v>
      </c>
      <c r="B28" s="6" t="s">
        <v>153</v>
      </c>
      <c r="C28" s="5" t="s">
        <v>153</v>
      </c>
      <c r="D28" s="6" t="s">
        <v>153</v>
      </c>
      <c r="E28" s="6" t="s">
        <v>153</v>
      </c>
      <c r="F28" s="5" t="s">
        <v>30</v>
      </c>
      <c r="G28" s="6" t="s">
        <v>153</v>
      </c>
      <c r="H28" s="6" t="s">
        <v>153</v>
      </c>
      <c r="I28" s="6" t="s">
        <v>153</v>
      </c>
      <c r="J28" s="5" t="s">
        <v>153</v>
      </c>
      <c r="K28" s="6" t="s">
        <v>153</v>
      </c>
      <c r="L28" s="6" t="s">
        <v>273</v>
      </c>
      <c r="M28" s="6" t="s">
        <v>274</v>
      </c>
      <c r="N28" s="9">
        <v>46004</v>
      </c>
      <c r="O28" s="6" t="s">
        <v>275</v>
      </c>
    </row>
    <row r="29" spans="1:15" x14ac:dyDescent="0.3">
      <c r="A29" s="6" t="s">
        <v>302</v>
      </c>
      <c r="B29" s="6" t="s">
        <v>30</v>
      </c>
      <c r="C29" t="s">
        <v>154</v>
      </c>
      <c r="D29" s="6" t="s">
        <v>30</v>
      </c>
      <c r="E29" s="6" t="s">
        <v>30</v>
      </c>
      <c r="F29" t="s">
        <v>153</v>
      </c>
      <c r="G29" s="6" t="s">
        <v>153</v>
      </c>
      <c r="H29" s="6" t="s">
        <v>30</v>
      </c>
      <c r="I29" s="6" t="s">
        <v>30</v>
      </c>
      <c r="J29" t="s">
        <v>154</v>
      </c>
      <c r="K29" s="6" t="s">
        <v>30</v>
      </c>
      <c r="L29" s="6" t="s">
        <v>273</v>
      </c>
      <c r="M29" s="6" t="s">
        <v>274</v>
      </c>
      <c r="N29" s="9">
        <v>46004</v>
      </c>
      <c r="O29" s="6" t="s">
        <v>275</v>
      </c>
    </row>
    <row r="30" spans="1:15" x14ac:dyDescent="0.3">
      <c r="A30" s="6" t="s">
        <v>303</v>
      </c>
      <c r="B30" s="6" t="s">
        <v>153</v>
      </c>
      <c r="C30" s="5" t="s">
        <v>153</v>
      </c>
      <c r="D30" s="6" t="s">
        <v>153</v>
      </c>
      <c r="E30" s="6" t="s">
        <v>153</v>
      </c>
      <c r="F30" s="5" t="s">
        <v>30</v>
      </c>
      <c r="G30" s="6" t="s">
        <v>153</v>
      </c>
      <c r="H30" s="6" t="s">
        <v>153</v>
      </c>
      <c r="I30" s="6" t="s">
        <v>153</v>
      </c>
      <c r="J30" s="5" t="s">
        <v>153</v>
      </c>
      <c r="K30" s="6" t="s">
        <v>153</v>
      </c>
      <c r="L30" s="6" t="s">
        <v>273</v>
      </c>
      <c r="M30" s="6" t="s">
        <v>274</v>
      </c>
      <c r="N30" s="9">
        <v>46004</v>
      </c>
      <c r="O30" s="6" t="s">
        <v>275</v>
      </c>
    </row>
    <row r="31" spans="1:15" x14ac:dyDescent="0.3">
      <c r="A31" s="6" t="s">
        <v>304</v>
      </c>
      <c r="B31" s="6" t="s">
        <v>30</v>
      </c>
      <c r="C31" t="s">
        <v>153</v>
      </c>
      <c r="D31" s="6" t="s">
        <v>30</v>
      </c>
      <c r="E31" s="6" t="s">
        <v>30</v>
      </c>
      <c r="F31" t="s">
        <v>153</v>
      </c>
      <c r="G31" s="6" t="s">
        <v>153</v>
      </c>
      <c r="H31" s="6" t="s">
        <v>30</v>
      </c>
      <c r="I31" s="6" t="s">
        <v>30</v>
      </c>
      <c r="J31" t="s">
        <v>154</v>
      </c>
      <c r="K31" s="6" t="s">
        <v>30</v>
      </c>
      <c r="L31" s="6" t="s">
        <v>273</v>
      </c>
      <c r="M31" s="6" t="s">
        <v>274</v>
      </c>
      <c r="N31" s="9">
        <v>46004</v>
      </c>
      <c r="O31" s="6" t="s">
        <v>275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ICSR_Cases</vt:lpstr>
      <vt:lpstr>QC_Checklist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2025-12-13T16:23:11Z</dcterms:created>
  <dcterms:modified xsi:type="dcterms:W3CDTF">2026-05-19T08:40:43Z</dcterms:modified>
</cp:coreProperties>
</file>